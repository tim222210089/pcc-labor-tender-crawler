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"/>
    </mc:Choice>
  </mc:AlternateContent>
  <xr:revisionPtr revIDLastSave="0" documentId="8_{07525C92-0DBB-4F7D-83A4-E3C606B9A321}" xr6:coauthVersionLast="36" xr6:coauthVersionMax="36" xr10:uidLastSave="{00000000-0000-0000-0000-000000000000}"/>
  <bookViews>
    <workbookView xWindow="25800" yWindow="0" windowWidth="25800" windowHeight="21000" firstSheet="3" activeTab="3" xr2:uid="{00000000-000D-0000-FFFF-FFFF00000000}"/>
  </bookViews>
  <sheets>
    <sheet name="日曆天 (2)" sheetId="10" state="hidden" r:id="rId1"/>
    <sheet name="經費概估(下期)" sheetId="12" state="hidden" r:id="rId2"/>
    <sheet name="服務成本" sheetId="11" state="hidden" r:id="rId3"/>
    <sheet name="經費概估" sheetId="15" r:id="rId4"/>
    <sheet name="服務成本 (2)" sheetId="13" state="hidden" r:id="rId5"/>
    <sheet name="工作表1" sheetId="14" state="hidden" r:id="rId6"/>
  </sheets>
  <externalReferences>
    <externalReference r:id="rId7"/>
    <externalReference r:id="rId8"/>
  </externalReferences>
  <definedNames>
    <definedName name="_1_2水泥砂漿" localSheetId="0">#REF!</definedName>
    <definedName name="_1_2水泥砂漿" localSheetId="2">#REF!</definedName>
    <definedName name="_1_2水泥砂漿" localSheetId="4">#REF!</definedName>
    <definedName name="_1_2水泥砂漿" localSheetId="3">#REF!</definedName>
    <definedName name="_1_2水泥砂漿" localSheetId="1">#REF!</definedName>
    <definedName name="_1_2水泥砂漿">#REF!</definedName>
    <definedName name="_Key1" localSheetId="4" hidden="1">[1]鋼筋明細表!#REF!</definedName>
    <definedName name="_Key1" localSheetId="3" hidden="1">[1]鋼筋明細表!#REF!</definedName>
    <definedName name="_Key1" localSheetId="1" hidden="1">[1]鋼筋明細表!#REF!</definedName>
    <definedName name="_Key1" hidden="1">[1]鋼筋明細表!#REF!</definedName>
    <definedName name="_Order1" hidden="1">255</definedName>
    <definedName name="_Sort" localSheetId="4" hidden="1">[1]鋼筋明細表!#REF!</definedName>
    <definedName name="_Sort" localSheetId="3" hidden="1">[1]鋼筋明細表!#REF!</definedName>
    <definedName name="_Sort" localSheetId="1" hidden="1">[1]鋼筋明細表!#REF!</definedName>
    <definedName name="_Sort" hidden="1">[1]鋼筋明細表!#REF!</definedName>
    <definedName name="beginning" localSheetId="0">#REF!</definedName>
    <definedName name="beginning" localSheetId="2">#REF!</definedName>
    <definedName name="beginning" localSheetId="4">#REF!</definedName>
    <definedName name="beginning" localSheetId="3">#REF!</definedName>
    <definedName name="beginning" localSheetId="1">#REF!</definedName>
    <definedName name="beginning">#REF!</definedName>
    <definedName name="_xlnm.Print_Area" localSheetId="3">經費概估!$A$1:$G$41</definedName>
    <definedName name="_xlnm.Print_Area" localSheetId="1">'經費概估(下期)'!$A$1:$G$38</definedName>
    <definedName name="Print_Area_MI" localSheetId="0">#REF!</definedName>
    <definedName name="Print_Area_MI" localSheetId="2">#REF!</definedName>
    <definedName name="Print_Area_MI" localSheetId="4">#REF!</definedName>
    <definedName name="Print_Area_MI" localSheetId="3">#REF!</definedName>
    <definedName name="Print_Area_MI" localSheetId="1">#REF!</definedName>
    <definedName name="Print_Area_MI">#REF!</definedName>
    <definedName name="_xlnm.Print_Titles" localSheetId="1">'經費概估(下期)'!$A:$G,'經費概估(下期)'!$1:$2</definedName>
    <definedName name="t" localSheetId="0">#REF!</definedName>
    <definedName name="t" localSheetId="2">#REF!</definedName>
    <definedName name="t" localSheetId="4">#REF!</definedName>
    <definedName name="t" localSheetId="3">#REF!</definedName>
    <definedName name="t" localSheetId="1">'經費概估(下期)'!#REF!</definedName>
    <definedName name="t">#REF!</definedName>
    <definedName name="工程名稱" localSheetId="0">#REF!</definedName>
    <definedName name="工程名稱" localSheetId="2">#REF!</definedName>
    <definedName name="工程名稱" localSheetId="4">#REF!</definedName>
    <definedName name="工程名稱" localSheetId="3">#REF!</definedName>
    <definedName name="工程名稱" localSheetId="1">#REF!</definedName>
    <definedName name="工程名稱">#REF!</definedName>
    <definedName name="主辦_編製" localSheetId="0">#REF!</definedName>
    <definedName name="主辦_編製" localSheetId="2">#REF!</definedName>
    <definedName name="主辦_編製" localSheetId="4">#REF!</definedName>
    <definedName name="主辦_編製" localSheetId="3">#REF!</definedName>
    <definedName name="主辦_編製" localSheetId="1">#REF!</definedName>
    <definedName name="主辦_編製">#REF!</definedName>
    <definedName name="仲埜" localSheetId="0">#REF!</definedName>
    <definedName name="仲埜" localSheetId="2">#REF!</definedName>
    <definedName name="仲埜" localSheetId="4">#REF!</definedName>
    <definedName name="仲埜" localSheetId="3">#REF!</definedName>
    <definedName name="仲埜" localSheetId="1">#REF!</definedName>
    <definedName name="仲埜">#REF!</definedName>
    <definedName name="列印範圍" localSheetId="0">#REF!</definedName>
    <definedName name="列印範圍" localSheetId="2">#REF!</definedName>
    <definedName name="列印範圍" localSheetId="4">#REF!</definedName>
    <definedName name="列印範圍" localSheetId="3">#REF!</definedName>
    <definedName name="列印範圍" localSheetId="1">#REF!</definedName>
    <definedName name="列印範圍">#REF!</definedName>
    <definedName name="合" localSheetId="0">[2]單析表!#REF!</definedName>
    <definedName name="合" localSheetId="2">[2]單析表!#REF!</definedName>
    <definedName name="合" localSheetId="4">[2]單析表!#REF!</definedName>
    <definedName name="合" localSheetId="3">[2]單析表!#REF!</definedName>
    <definedName name="合" localSheetId="1">[2]單析表!#REF!</definedName>
    <definedName name="合">[2]單析表!#REF!</definedName>
    <definedName name="年月日" localSheetId="0">#REF!</definedName>
    <definedName name="年月日" localSheetId="2">#REF!</definedName>
    <definedName name="年月日" localSheetId="4">#REF!</definedName>
    <definedName name="年月日" localSheetId="3">#REF!</definedName>
    <definedName name="年月日" localSheetId="1">#REF!</definedName>
    <definedName name="年月日">#REF!</definedName>
    <definedName name="尾數" localSheetId="0">#REF!</definedName>
    <definedName name="尾數" localSheetId="2">#REF!</definedName>
    <definedName name="尾數" localSheetId="4">#REF!</definedName>
    <definedName name="尾數" localSheetId="3">#REF!</definedName>
    <definedName name="尾數" localSheetId="1">#REF!</definedName>
    <definedName name="尾數">#REF!</definedName>
    <definedName name="底層" localSheetId="0">[2]單析表!#REF!</definedName>
    <definedName name="底層" localSheetId="2">[2]單析表!#REF!</definedName>
    <definedName name="底層" localSheetId="4">[2]單析表!#REF!</definedName>
    <definedName name="底層" localSheetId="3">[2]單析表!#REF!</definedName>
    <definedName name="底層" localSheetId="1">[2]單析表!#REF!</definedName>
    <definedName name="底層">[2]單析表!#REF!</definedName>
    <definedName name="底層舖築及壓實" localSheetId="0">#REF!</definedName>
    <definedName name="底層舖築及壓實" localSheetId="2">#REF!</definedName>
    <definedName name="底層舖築及壓實" localSheetId="4">#REF!</definedName>
    <definedName name="底層舖築及壓實" localSheetId="3">#REF!</definedName>
    <definedName name="底層舖築及壓實" localSheetId="1">#REF!</definedName>
    <definedName name="底層舖築及壓實">#REF!</definedName>
    <definedName name="空白行" localSheetId="0">#REF!</definedName>
    <definedName name="空白行" localSheetId="2">#REF!</definedName>
    <definedName name="空白行" localSheetId="4">#REF!</definedName>
    <definedName name="空白行" localSheetId="3">#REF!</definedName>
    <definedName name="空白行" localSheetId="1">#REF!</definedName>
    <definedName name="空白行">#REF!</definedName>
    <definedName name="表頭" localSheetId="0">#REF!</definedName>
    <definedName name="表頭" localSheetId="2">#REF!</definedName>
    <definedName name="表頭" localSheetId="4">#REF!</definedName>
    <definedName name="表頭" localSheetId="3">#REF!</definedName>
    <definedName name="表頭" localSheetId="1">#REF!</definedName>
    <definedName name="表頭">#REF!</definedName>
    <definedName name="第頁" localSheetId="0">#REF!</definedName>
    <definedName name="第頁" localSheetId="2">#REF!</definedName>
    <definedName name="第頁" localSheetId="4">#REF!</definedName>
    <definedName name="第頁" localSheetId="3">#REF!</definedName>
    <definedName name="第頁" localSheetId="1">#REF!</definedName>
    <definedName name="第頁">#REF!</definedName>
    <definedName name="結算" localSheetId="4">#REF!</definedName>
    <definedName name="結算" localSheetId="3">#REF!</definedName>
    <definedName name="結算" localSheetId="1">#REF!</definedName>
    <definedName name="結算">#REF!</definedName>
    <definedName name="廢方推整平順及清理費" localSheetId="0">#REF!</definedName>
    <definedName name="廢方推整平順及清理費" localSheetId="2">#REF!</definedName>
    <definedName name="廢方推整平順及清理費" localSheetId="4">#REF!</definedName>
    <definedName name="廢方推整平順及清理費" localSheetId="3">#REF!</definedName>
    <definedName name="廢方推整平順及清理費" localSheetId="1">#REF!</definedName>
    <definedName name="廢方推整平順及清理費">#REF!</definedName>
    <definedName name="編製" localSheetId="0">#REF!</definedName>
    <definedName name="編製" localSheetId="2">#REF!</definedName>
    <definedName name="編製" localSheetId="4">#REF!</definedName>
    <definedName name="編製" localSheetId="3">#REF!</definedName>
    <definedName name="編製" localSheetId="1">#REF!</definedName>
    <definedName name="編製">#REF!</definedName>
    <definedName name="鋼筋及彎紮" localSheetId="0">#REF!</definedName>
    <definedName name="鋼筋及彎紮" localSheetId="2">#REF!</definedName>
    <definedName name="鋼筋及彎紮" localSheetId="4">#REF!</definedName>
    <definedName name="鋼筋及彎紮" localSheetId="3">#REF!</definedName>
    <definedName name="鋼筋及彎紮" localSheetId="1">#REF!</definedName>
    <definedName name="鋼筋及彎紮">#REF!</definedName>
    <definedName name="瀝青混凝土合材費" localSheetId="0">#REF!</definedName>
    <definedName name="瀝青混凝土合材費" localSheetId="2">#REF!</definedName>
    <definedName name="瀝青混凝土合材費" localSheetId="4">#REF!</definedName>
    <definedName name="瀝青混凝土合材費" localSheetId="3">#REF!</definedName>
    <definedName name="瀝青混凝土合材費" localSheetId="1">#REF!</definedName>
    <definedName name="瀝青混凝土合材費">#REF!</definedName>
    <definedName name="瀝青混凝土面層舖築及壓實" localSheetId="0">#REF!</definedName>
    <definedName name="瀝青混凝土面層舖築及壓實" localSheetId="2">#REF!</definedName>
    <definedName name="瀝青混凝土面層舖築及壓實" localSheetId="4">#REF!</definedName>
    <definedName name="瀝青混凝土面層舖築及壓實" localSheetId="3">#REF!</definedName>
    <definedName name="瀝青混凝土面層舖築及壓實" localSheetId="1">#REF!</definedName>
    <definedName name="瀝青混凝土面層舖築及壓實">#REF!</definedName>
  </definedNames>
  <calcPr calcId="191029"/>
</workbook>
</file>

<file path=xl/calcChain.xml><?xml version="1.0" encoding="utf-8"?>
<calcChain xmlns="http://schemas.openxmlformats.org/spreadsheetml/2006/main">
  <c r="E39" i="15" l="1"/>
  <c r="E40" i="15"/>
  <c r="E35" i="15"/>
  <c r="F29" i="15" l="1"/>
  <c r="F28" i="15"/>
  <c r="F27" i="15"/>
  <c r="F26" i="15"/>
  <c r="F25" i="15"/>
  <c r="F24" i="15"/>
  <c r="F23" i="15"/>
  <c r="F22" i="15"/>
  <c r="F21" i="15"/>
  <c r="F20" i="15"/>
  <c r="F19" i="15"/>
  <c r="F18" i="15"/>
  <c r="F15" i="15"/>
  <c r="F5" i="15"/>
  <c r="E30" i="15" l="1"/>
  <c r="F30" i="15" s="1"/>
  <c r="F13" i="15"/>
  <c r="F12" i="15" l="1"/>
  <c r="F10" i="15"/>
  <c r="F9" i="15"/>
  <c r="F7" i="15" l="1"/>
  <c r="F11" i="15"/>
  <c r="F14" i="15" l="1"/>
  <c r="F8" i="15" l="1"/>
  <c r="P14" i="13" l="1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13" i="13"/>
  <c r="S4" i="15" l="1"/>
  <c r="R4" i="15"/>
  <c r="Q4" i="15"/>
  <c r="P4" i="15"/>
  <c r="O4" i="15"/>
  <c r="N4" i="15"/>
  <c r="L27" i="15" l="1"/>
  <c r="M27" i="15" l="1"/>
  <c r="N27" i="15" s="1"/>
  <c r="F4" i="15"/>
  <c r="H6" i="15"/>
  <c r="F6" i="15"/>
  <c r="E16" i="15" l="1"/>
  <c r="H5" i="13"/>
  <c r="H6" i="13"/>
  <c r="H7" i="13"/>
  <c r="H8" i="13"/>
  <c r="H9" i="13"/>
  <c r="K9" i="13"/>
  <c r="H10" i="13"/>
  <c r="K10" i="13"/>
  <c r="H11" i="13"/>
  <c r="H12" i="13"/>
  <c r="H15" i="13"/>
  <c r="H16" i="13"/>
  <c r="H17" i="13"/>
  <c r="H18" i="13"/>
  <c r="H19" i="13"/>
  <c r="H20" i="13"/>
  <c r="H23" i="13"/>
  <c r="H24" i="13"/>
  <c r="H25" i="13"/>
  <c r="H26" i="13"/>
  <c r="H32" i="13"/>
  <c r="H33" i="13"/>
  <c r="H34" i="13"/>
  <c r="F16" i="15" l="1"/>
  <c r="F31" i="15" s="1"/>
  <c r="H13" i="13"/>
  <c r="H4" i="13" s="1"/>
  <c r="H21" i="13"/>
  <c r="H14" i="13" s="1"/>
  <c r="H27" i="13"/>
  <c r="H22" i="13" s="1"/>
  <c r="H30" i="13"/>
  <c r="H31" i="13"/>
  <c r="E34" i="15" l="1"/>
  <c r="F34" i="15" s="1"/>
  <c r="E32" i="15"/>
  <c r="F32" i="15" s="1"/>
  <c r="F35" i="15"/>
  <c r="E33" i="15"/>
  <c r="F33" i="15" s="1"/>
  <c r="H35" i="13"/>
  <c r="H36" i="13" s="1"/>
  <c r="H29" i="13" s="1"/>
  <c r="H28" i="13"/>
  <c r="E36" i="15" l="1"/>
  <c r="F36" i="15" s="1"/>
  <c r="F37" i="15" s="1"/>
  <c r="F40" i="15" s="1"/>
  <c r="H38" i="13"/>
  <c r="F39" i="15"/>
  <c r="F12" i="12"/>
  <c r="F13" i="12"/>
  <c r="F11" i="12"/>
  <c r="F41" i="15" l="1"/>
  <c r="I28" i="15" s="1"/>
  <c r="J38" i="13"/>
  <c r="E39" i="13"/>
  <c r="I41" i="12"/>
  <c r="J30" i="12"/>
  <c r="F18" i="12"/>
  <c r="F17" i="12"/>
  <c r="F16" i="12"/>
  <c r="F15" i="12"/>
  <c r="F10" i="12"/>
  <c r="F9" i="12"/>
  <c r="F8" i="12"/>
  <c r="F7" i="12"/>
  <c r="F5" i="12"/>
  <c r="F4" i="12" s="1"/>
  <c r="F6" i="12" l="1"/>
  <c r="E19" i="12" s="1"/>
  <c r="I42" i="12"/>
  <c r="I43" i="12"/>
  <c r="F19" i="12" l="1"/>
  <c r="I44" i="12"/>
  <c r="I45" i="12" s="1"/>
  <c r="F14" i="12" l="1"/>
  <c r="F20" i="12" s="1"/>
  <c r="E21" i="12" s="1"/>
  <c r="F21" i="12" s="1"/>
  <c r="E23" i="12" l="1"/>
  <c r="F23" i="12" s="1"/>
  <c r="E25" i="12"/>
  <c r="F25" i="12" s="1"/>
  <c r="E24" i="12"/>
  <c r="F24" i="12" s="1"/>
  <c r="E22" i="12"/>
  <c r="F22" i="12" s="1"/>
  <c r="G11" i="14"/>
  <c r="G8" i="14"/>
  <c r="H25" i="12" l="1"/>
  <c r="E26" i="12" s="1"/>
  <c r="G10" i="14"/>
  <c r="F26" i="12" l="1"/>
  <c r="F27" i="12" s="1"/>
  <c r="E30" i="12" s="1"/>
  <c r="B35" i="12" l="1"/>
  <c r="B33" i="12"/>
  <c r="H33" i="12"/>
  <c r="E28" i="12"/>
  <c r="F28" i="12" s="1"/>
  <c r="F29" i="12" s="1"/>
  <c r="E34" i="12"/>
  <c r="F34" i="12" s="1"/>
  <c r="E32" i="12"/>
  <c r="F32" i="12" s="1"/>
  <c r="F30" i="12" l="1"/>
  <c r="F31" i="12" s="1"/>
  <c r="E36" i="12" s="1"/>
  <c r="G5" i="14"/>
  <c r="G7" i="14"/>
  <c r="F36" i="12" l="1"/>
  <c r="F37" i="12" s="1"/>
  <c r="F38" i="12" s="1"/>
  <c r="H37" i="12" s="1"/>
  <c r="G6" i="14" l="1"/>
  <c r="H5" i="11" l="1"/>
  <c r="H6" i="11"/>
  <c r="H7" i="11"/>
  <c r="H8" i="11"/>
  <c r="H9" i="11"/>
  <c r="H10" i="11"/>
  <c r="H11" i="11"/>
  <c r="H12" i="11"/>
  <c r="H15" i="11"/>
  <c r="H16" i="11"/>
  <c r="H17" i="11"/>
  <c r="H18" i="11"/>
  <c r="H19" i="11"/>
  <c r="H20" i="11"/>
  <c r="G23" i="11"/>
  <c r="H23" i="11" s="1"/>
  <c r="G24" i="11"/>
  <c r="H24" i="11" s="1"/>
  <c r="H25" i="11"/>
  <c r="H26" i="11"/>
  <c r="H27" i="11"/>
  <c r="G28" i="11" l="1"/>
  <c r="G21" i="11"/>
  <c r="H21" i="11" s="1"/>
  <c r="H14" i="11" s="1"/>
  <c r="G13" i="11"/>
  <c r="H13" i="11" s="1"/>
  <c r="H4" i="11" s="1"/>
  <c r="H28" i="11"/>
  <c r="H29" i="11" s="1"/>
  <c r="H22" i="11" s="1"/>
  <c r="G9" i="14" l="1"/>
  <c r="H30" i="11"/>
  <c r="H32" i="11" s="1"/>
  <c r="C41" i="11" l="1"/>
  <c r="F33" i="11"/>
  <c r="G12" i="14" l="1"/>
  <c r="G13" i="14"/>
  <c r="G14" i="14" l="1"/>
  <c r="J28" i="13"/>
  <c r="K38" i="13"/>
  <c r="J35" i="13"/>
  <c r="J44" i="13"/>
  <c r="J39" i="13"/>
  <c r="O24" i="11"/>
  <c r="O25" i="11" s="1"/>
  <c r="O26" i="11" s="1"/>
  <c r="J32" i="11"/>
  <c r="K32" i="11" s="1"/>
  <c r="G17" i="14" l="1"/>
  <c r="K28" i="13"/>
  <c r="J29" i="13" s="1"/>
  <c r="K35" i="13"/>
  <c r="J34" i="11"/>
  <c r="J14" i="11"/>
  <c r="K14" i="11" s="1"/>
  <c r="O27" i="11"/>
  <c r="J22" i="11" s="1"/>
  <c r="K22" i="11" s="1"/>
  <c r="H8" i="14" l="1"/>
  <c r="H11" i="14"/>
  <c r="H10" i="14"/>
  <c r="H7" i="14"/>
  <c r="H5" i="14"/>
  <c r="H6" i="14"/>
  <c r="H9" i="14"/>
  <c r="H13" i="14"/>
  <c r="H12" i="14"/>
  <c r="H14" i="14"/>
  <c r="J4" i="13"/>
  <c r="M4" i="13" s="1"/>
  <c r="J37" i="13"/>
  <c r="J22" i="13"/>
  <c r="M22" i="13" s="1"/>
  <c r="J14" i="13"/>
  <c r="M14" i="13" s="1"/>
  <c r="O28" i="11"/>
  <c r="J4" i="11" s="1"/>
  <c r="K4" i="11" s="1"/>
  <c r="H17" i="14" l="1"/>
</calcChain>
</file>

<file path=xl/sharedStrings.xml><?xml version="1.0" encoding="utf-8"?>
<sst xmlns="http://schemas.openxmlformats.org/spreadsheetml/2006/main" count="429" uniqueCount="287">
  <si>
    <t>編製</t>
  </si>
  <si>
    <t>工作項目</t>
    <phoneticPr fontId="3" type="noConversion"/>
  </si>
  <si>
    <t>日曆天</t>
    <phoneticPr fontId="3" type="noConversion"/>
  </si>
  <si>
    <t>委託設計招標及訂約</t>
    <phoneticPr fontId="3" type="noConversion"/>
  </si>
  <si>
    <t>委託設計</t>
    <phoneticPr fontId="3" type="noConversion"/>
  </si>
  <si>
    <t>工程招標</t>
    <phoneticPr fontId="3" type="noConversion"/>
  </si>
  <si>
    <t>施工及監造</t>
    <phoneticPr fontId="3" type="noConversion"/>
  </si>
  <si>
    <t>工程驗收及結算</t>
    <phoneticPr fontId="3" type="noConversion"/>
  </si>
  <si>
    <r>
      <rPr>
        <b/>
        <sz val="11"/>
        <rFont val="標楷體"/>
        <family val="4"/>
        <charset val="136"/>
      </rPr>
      <t>元整</t>
    </r>
    <phoneticPr fontId="2" type="noConversion"/>
  </si>
  <si>
    <r>
      <rPr>
        <b/>
        <sz val="11"/>
        <rFont val="標楷體"/>
        <family val="4"/>
        <charset val="136"/>
      </rPr>
      <t>新台幣</t>
    </r>
    <phoneticPr fontId="2" type="noConversion"/>
  </si>
  <si>
    <r>
      <rPr>
        <b/>
        <sz val="11"/>
        <rFont val="標楷體"/>
        <family val="4"/>
        <charset val="136"/>
      </rPr>
      <t>本工程服務費用計</t>
    </r>
    <phoneticPr fontId="2" type="noConversion"/>
  </si>
  <si>
    <r>
      <rPr>
        <sz val="11"/>
        <rFont val="標楷體"/>
        <family val="4"/>
        <charset val="136"/>
      </rPr>
      <t>總計（一～六）</t>
    </r>
    <phoneticPr fontId="2" type="noConversion"/>
  </si>
  <si>
    <r>
      <rPr>
        <b/>
        <sz val="10"/>
        <rFont val="標楷體"/>
        <family val="4"/>
        <charset val="136"/>
      </rPr>
      <t>本項費用已包含至上列各項費用中</t>
    </r>
  </si>
  <si>
    <r>
      <rPr>
        <b/>
        <sz val="11"/>
        <rFont val="標楷體"/>
        <family val="4"/>
        <charset val="136"/>
      </rPr>
      <t>式</t>
    </r>
  </si>
  <si>
    <r>
      <rPr>
        <b/>
        <sz val="11"/>
        <rFont val="標楷體"/>
        <family val="4"/>
        <charset val="136"/>
      </rPr>
      <t>專業責任保險</t>
    </r>
  </si>
  <si>
    <r>
      <rPr>
        <b/>
        <sz val="12"/>
        <rFont val="標楷體"/>
        <family val="4"/>
        <charset val="136"/>
      </rPr>
      <t>五</t>
    </r>
    <phoneticPr fontId="2" type="noConversion"/>
  </si>
  <si>
    <r>
      <rPr>
        <b/>
        <sz val="11"/>
        <rFont val="標楷體"/>
        <family val="4"/>
        <charset val="136"/>
      </rPr>
      <t>營業稅</t>
    </r>
    <r>
      <rPr>
        <b/>
        <sz val="11"/>
        <rFont val="Times New Roman"/>
        <family val="1"/>
      </rPr>
      <t>(5%)</t>
    </r>
  </si>
  <si>
    <r>
      <rPr>
        <b/>
        <sz val="12"/>
        <rFont val="標楷體"/>
        <family val="4"/>
        <charset val="136"/>
      </rPr>
      <t>四</t>
    </r>
    <phoneticPr fontId="2" type="noConversion"/>
  </si>
  <si>
    <r>
      <rPr>
        <sz val="11"/>
        <rFont val="標楷體"/>
        <family val="4"/>
        <charset val="136"/>
      </rPr>
      <t>小計（四）</t>
    </r>
    <phoneticPr fontId="2" type="noConversion"/>
  </si>
  <si>
    <r>
      <rPr>
        <sz val="11"/>
        <rFont val="標楷體"/>
        <family val="4"/>
        <charset val="136"/>
      </rPr>
      <t>式</t>
    </r>
  </si>
  <si>
    <t>其他雜支（含行政作業費）</t>
    <phoneticPr fontId="2" type="noConversion"/>
  </si>
  <si>
    <r>
      <rPr>
        <sz val="11"/>
        <rFont val="標楷體"/>
        <family val="4"/>
        <charset val="136"/>
      </rPr>
      <t>電腦軟體使用費</t>
    </r>
    <phoneticPr fontId="2" type="noConversion"/>
  </si>
  <si>
    <r>
      <rPr>
        <sz val="11"/>
        <rFont val="標楷體"/>
        <family val="4"/>
        <charset val="136"/>
      </rPr>
      <t>差旅費</t>
    </r>
    <phoneticPr fontId="2" type="noConversion"/>
  </si>
  <si>
    <t>不含營業稅</t>
    <phoneticPr fontId="2" type="noConversion"/>
  </si>
  <si>
    <r>
      <rPr>
        <sz val="11"/>
        <rFont val="標楷體"/>
        <family val="4"/>
        <charset val="136"/>
      </rPr>
      <t>人月</t>
    </r>
    <phoneticPr fontId="2" type="noConversion"/>
  </si>
  <si>
    <r>
      <rPr>
        <sz val="11"/>
        <rFont val="標楷體"/>
        <family val="4"/>
        <charset val="136"/>
      </rPr>
      <t>監造工程人員薪資</t>
    </r>
    <phoneticPr fontId="2" type="noConversion"/>
  </si>
  <si>
    <r>
      <rPr>
        <sz val="11"/>
        <rFont val="標楷體"/>
        <family val="4"/>
        <charset val="136"/>
      </rPr>
      <t>人月</t>
    </r>
    <phoneticPr fontId="2" type="noConversion"/>
  </si>
  <si>
    <r>
      <rPr>
        <sz val="11"/>
        <rFont val="標楷體"/>
        <family val="4"/>
        <charset val="136"/>
      </rPr>
      <t>專案設計師薪資</t>
    </r>
    <phoneticPr fontId="2" type="noConversion"/>
  </si>
  <si>
    <r>
      <rPr>
        <sz val="11"/>
        <rFont val="標楷體"/>
        <family val="4"/>
        <charset val="136"/>
      </rPr>
      <t>計畫主持人薪資</t>
    </r>
    <phoneticPr fontId="2" type="noConversion"/>
  </si>
  <si>
    <r>
      <rPr>
        <b/>
        <sz val="11"/>
        <rFont val="標楷體"/>
        <family val="4"/>
        <charset val="136"/>
      </rPr>
      <t>工作項目所佔權重</t>
    </r>
    <r>
      <rPr>
        <b/>
        <sz val="11"/>
        <rFont val="Times New Roman"/>
        <family val="1"/>
      </rPr>
      <t>45</t>
    </r>
    <r>
      <rPr>
        <b/>
        <sz val="11"/>
        <rFont val="標楷體"/>
        <family val="4"/>
        <charset val="136"/>
      </rPr>
      <t>％</t>
    </r>
    <phoneticPr fontId="2" type="noConversion"/>
  </si>
  <si>
    <r>
      <rPr>
        <b/>
        <sz val="11"/>
        <rFont val="標楷體"/>
        <family val="4"/>
        <charset val="136"/>
      </rPr>
      <t>監造階段</t>
    </r>
    <phoneticPr fontId="2" type="noConversion"/>
  </si>
  <si>
    <r>
      <rPr>
        <b/>
        <sz val="12"/>
        <rFont val="標楷體"/>
        <family val="4"/>
        <charset val="136"/>
      </rPr>
      <t>三</t>
    </r>
    <phoneticPr fontId="2" type="noConversion"/>
  </si>
  <si>
    <r>
      <rPr>
        <b/>
        <sz val="11"/>
        <rFont val="標楷體"/>
        <family val="4"/>
        <charset val="136"/>
      </rPr>
      <t>監造</t>
    </r>
    <phoneticPr fontId="2" type="noConversion"/>
  </si>
  <si>
    <t>其他雜支（含行政作業費）</t>
    <phoneticPr fontId="2" type="noConversion"/>
  </si>
  <si>
    <r>
      <rPr>
        <sz val="11"/>
        <rFont val="標楷體"/>
        <family val="4"/>
        <charset val="136"/>
      </rPr>
      <t>撰寫及編印費</t>
    </r>
    <phoneticPr fontId="2" type="noConversion"/>
  </si>
  <si>
    <r>
      <rPr>
        <sz val="11"/>
        <rFont val="標楷體"/>
        <family val="4"/>
        <charset val="136"/>
      </rPr>
      <t>電腦軟硬體使用費</t>
    </r>
    <phoneticPr fontId="2" type="noConversion"/>
  </si>
  <si>
    <r>
      <rPr>
        <sz val="11"/>
        <rFont val="標楷體"/>
        <family val="4"/>
        <charset val="136"/>
      </rPr>
      <t>差旅費</t>
    </r>
    <phoneticPr fontId="2" type="noConversion"/>
  </si>
  <si>
    <r>
      <rPr>
        <sz val="11"/>
        <rFont val="標楷體"/>
        <family val="4"/>
        <charset val="136"/>
      </rPr>
      <t>工程師薪資</t>
    </r>
    <phoneticPr fontId="2" type="noConversion"/>
  </si>
  <si>
    <r>
      <rPr>
        <sz val="11"/>
        <rFont val="標楷體"/>
        <family val="4"/>
        <charset val="136"/>
      </rPr>
      <t>人月</t>
    </r>
    <phoneticPr fontId="2" type="noConversion"/>
  </si>
  <si>
    <r>
      <rPr>
        <sz val="11"/>
        <rFont val="標楷體"/>
        <family val="4"/>
        <charset val="136"/>
      </rPr>
      <t>計畫主持人薪資</t>
    </r>
    <phoneticPr fontId="2" type="noConversion"/>
  </si>
  <si>
    <r>
      <rPr>
        <b/>
        <sz val="11"/>
        <rFont val="標楷體"/>
        <family val="4"/>
        <charset val="136"/>
      </rPr>
      <t>工作項目所佔權重</t>
    </r>
    <r>
      <rPr>
        <b/>
        <sz val="11"/>
        <rFont val="Times New Roman"/>
        <family val="1"/>
      </rPr>
      <t>45</t>
    </r>
    <r>
      <rPr>
        <b/>
        <sz val="11"/>
        <rFont val="標楷體"/>
        <family val="4"/>
        <charset val="136"/>
      </rPr>
      <t>％</t>
    </r>
    <phoneticPr fontId="2" type="noConversion"/>
  </si>
  <si>
    <r>
      <rPr>
        <b/>
        <sz val="11"/>
        <rFont val="標楷體"/>
        <family val="4"/>
        <charset val="136"/>
      </rPr>
      <t>設計</t>
    </r>
    <r>
      <rPr>
        <b/>
        <sz val="11"/>
        <rFont val="Times New Roman"/>
        <family val="1"/>
      </rPr>
      <t>(</t>
    </r>
    <r>
      <rPr>
        <b/>
        <sz val="11"/>
        <rFont val="標楷體"/>
        <family val="4"/>
        <charset val="136"/>
      </rPr>
      <t>協助招標及施工諮詢</t>
    </r>
    <r>
      <rPr>
        <b/>
        <sz val="11"/>
        <rFont val="Times New Roman"/>
        <family val="1"/>
      </rPr>
      <t>)</t>
    </r>
    <phoneticPr fontId="2" type="noConversion"/>
  </si>
  <si>
    <r>
      <rPr>
        <b/>
        <sz val="12"/>
        <rFont val="標楷體"/>
        <family val="4"/>
        <charset val="136"/>
      </rPr>
      <t>二</t>
    </r>
    <phoneticPr fontId="2" type="noConversion"/>
  </si>
  <si>
    <r>
      <rPr>
        <b/>
        <sz val="11"/>
        <rFont val="標楷體"/>
        <family val="4"/>
        <charset val="136"/>
      </rPr>
      <t>設計及協辦招標決標</t>
    </r>
    <phoneticPr fontId="2" type="noConversion"/>
  </si>
  <si>
    <r>
      <rPr>
        <sz val="11"/>
        <rFont val="標楷體"/>
        <family val="4"/>
        <charset val="136"/>
      </rPr>
      <t>式</t>
    </r>
    <phoneticPr fontId="2" type="noConversion"/>
  </si>
  <si>
    <r>
      <rPr>
        <sz val="11"/>
        <rFont val="標楷體"/>
        <family val="4"/>
        <charset val="136"/>
      </rPr>
      <t>整理及編印費</t>
    </r>
    <phoneticPr fontId="2" type="noConversion"/>
  </si>
  <si>
    <r>
      <rPr>
        <sz val="11"/>
        <rFont val="標楷體"/>
        <family val="4"/>
        <charset val="136"/>
      </rPr>
      <t>式</t>
    </r>
    <phoneticPr fontId="2" type="noConversion"/>
  </si>
  <si>
    <r>
      <rPr>
        <sz val="11"/>
        <rFont val="標楷體"/>
        <family val="4"/>
        <charset val="136"/>
      </rPr>
      <t>電腦軟體使用費</t>
    </r>
    <phoneticPr fontId="2" type="noConversion"/>
  </si>
  <si>
    <r>
      <rPr>
        <sz val="11"/>
        <rFont val="標楷體"/>
        <family val="4"/>
        <charset val="136"/>
      </rPr>
      <t>工程師薪資</t>
    </r>
    <phoneticPr fontId="2" type="noConversion"/>
  </si>
  <si>
    <r>
      <rPr>
        <sz val="11"/>
        <rFont val="標楷體"/>
        <family val="4"/>
        <charset val="136"/>
      </rPr>
      <t>專案設計薪資</t>
    </r>
    <phoneticPr fontId="2" type="noConversion"/>
  </si>
  <si>
    <r>
      <rPr>
        <sz val="11"/>
        <rFont val="標楷體"/>
        <family val="4"/>
        <charset val="136"/>
      </rPr>
      <t>計畫主持人薪資</t>
    </r>
    <phoneticPr fontId="2" type="noConversion"/>
  </si>
  <si>
    <r>
      <rPr>
        <sz val="11"/>
        <rFont val="標楷體"/>
        <family val="4"/>
        <charset val="136"/>
      </rPr>
      <t>測量費</t>
    </r>
    <phoneticPr fontId="2" type="noConversion"/>
  </si>
  <si>
    <r>
      <rPr>
        <sz val="11"/>
        <rFont val="標楷體"/>
        <family val="4"/>
        <charset val="136"/>
      </rPr>
      <t>式</t>
    </r>
    <phoneticPr fontId="2" type="noConversion"/>
  </si>
  <si>
    <r>
      <rPr>
        <sz val="11"/>
        <rFont val="標楷體"/>
        <family val="4"/>
        <charset val="136"/>
      </rPr>
      <t>資料蒐集費</t>
    </r>
    <phoneticPr fontId="2" type="noConversion"/>
  </si>
  <si>
    <r>
      <rPr>
        <b/>
        <sz val="11"/>
        <rFont val="標楷體"/>
        <family val="4"/>
        <charset val="136"/>
      </rPr>
      <t>工作項目所佔權重</t>
    </r>
    <r>
      <rPr>
        <b/>
        <sz val="11"/>
        <rFont val="Times New Roman"/>
        <family val="1"/>
      </rPr>
      <t>10</t>
    </r>
    <r>
      <rPr>
        <b/>
        <sz val="11"/>
        <rFont val="標楷體"/>
        <family val="4"/>
        <charset val="136"/>
      </rPr>
      <t>％</t>
    </r>
    <phoneticPr fontId="2" type="noConversion"/>
  </si>
  <si>
    <r>
      <rPr>
        <b/>
        <sz val="11"/>
        <rFont val="標楷體"/>
        <family val="4"/>
        <charset val="136"/>
      </rPr>
      <t>規劃</t>
    </r>
    <phoneticPr fontId="2" type="noConversion"/>
  </si>
  <si>
    <r>
      <rPr>
        <b/>
        <sz val="12"/>
        <rFont val="標楷體"/>
        <family val="4"/>
        <charset val="136"/>
      </rPr>
      <t>一</t>
    </r>
    <phoneticPr fontId="2" type="noConversion"/>
  </si>
  <si>
    <r>
      <rPr>
        <b/>
        <sz val="11"/>
        <rFont val="標楷體"/>
        <family val="4"/>
        <charset val="136"/>
      </rPr>
      <t>規劃</t>
    </r>
    <phoneticPr fontId="2" type="noConversion"/>
  </si>
  <si>
    <r>
      <rPr>
        <b/>
        <sz val="11"/>
        <color indexed="9"/>
        <rFont val="標楷體"/>
        <family val="4"/>
        <charset val="136"/>
      </rPr>
      <t>附註</t>
    </r>
    <phoneticPr fontId="2" type="noConversion"/>
  </si>
  <si>
    <r>
      <rPr>
        <b/>
        <sz val="11"/>
        <color indexed="9"/>
        <rFont val="標楷體"/>
        <family val="4"/>
        <charset val="136"/>
      </rPr>
      <t>金</t>
    </r>
    <r>
      <rPr>
        <b/>
        <sz val="11"/>
        <color indexed="9"/>
        <rFont val="Times New Roman"/>
        <family val="1"/>
      </rPr>
      <t xml:space="preserve"> </t>
    </r>
    <r>
      <rPr>
        <b/>
        <sz val="11"/>
        <color indexed="9"/>
        <rFont val="標楷體"/>
        <family val="4"/>
        <charset val="136"/>
      </rPr>
      <t>額</t>
    </r>
  </si>
  <si>
    <r>
      <rPr>
        <b/>
        <sz val="11"/>
        <color indexed="9"/>
        <rFont val="標楷體"/>
        <family val="4"/>
        <charset val="136"/>
      </rPr>
      <t>單</t>
    </r>
    <r>
      <rPr>
        <b/>
        <sz val="11"/>
        <color indexed="9"/>
        <rFont val="Times New Roman"/>
        <family val="1"/>
      </rPr>
      <t xml:space="preserve"> </t>
    </r>
    <r>
      <rPr>
        <b/>
        <sz val="11"/>
        <color indexed="9"/>
        <rFont val="標楷體"/>
        <family val="4"/>
        <charset val="136"/>
      </rPr>
      <t>價</t>
    </r>
  </si>
  <si>
    <r>
      <rPr>
        <b/>
        <sz val="11"/>
        <color indexed="9"/>
        <rFont val="標楷體"/>
        <family val="4"/>
        <charset val="136"/>
      </rPr>
      <t>數量</t>
    </r>
  </si>
  <si>
    <r>
      <rPr>
        <b/>
        <sz val="11"/>
        <color indexed="9"/>
        <rFont val="標楷體"/>
        <family val="4"/>
        <charset val="136"/>
      </rPr>
      <t>單位</t>
    </r>
  </si>
  <si>
    <r>
      <rPr>
        <b/>
        <sz val="11"/>
        <color indexed="9"/>
        <rFont val="標楷體"/>
        <family val="4"/>
        <charset val="136"/>
      </rPr>
      <t>說明</t>
    </r>
    <phoneticPr fontId="2" type="noConversion"/>
  </si>
  <si>
    <r>
      <rPr>
        <b/>
        <sz val="11"/>
        <color indexed="9"/>
        <rFont val="標楷體"/>
        <family val="4"/>
        <charset val="136"/>
      </rPr>
      <t>工</t>
    </r>
    <r>
      <rPr>
        <b/>
        <sz val="11"/>
        <color indexed="9"/>
        <rFont val="Times New Roman"/>
        <family val="1"/>
      </rPr>
      <t xml:space="preserve">  </t>
    </r>
    <r>
      <rPr>
        <b/>
        <sz val="11"/>
        <color indexed="9"/>
        <rFont val="標楷體"/>
        <family val="4"/>
        <charset val="136"/>
      </rPr>
      <t>作</t>
    </r>
    <r>
      <rPr>
        <b/>
        <sz val="11"/>
        <color indexed="9"/>
        <rFont val="Times New Roman"/>
        <family val="1"/>
      </rPr>
      <t xml:space="preserve">  </t>
    </r>
    <r>
      <rPr>
        <b/>
        <sz val="11"/>
        <color indexed="9"/>
        <rFont val="標楷體"/>
        <family val="4"/>
        <charset val="136"/>
      </rPr>
      <t>項</t>
    </r>
    <r>
      <rPr>
        <b/>
        <sz val="11"/>
        <color indexed="9"/>
        <rFont val="Times New Roman"/>
        <family val="1"/>
      </rPr>
      <t xml:space="preserve">  </t>
    </r>
    <r>
      <rPr>
        <b/>
        <sz val="11"/>
        <color indexed="9"/>
        <rFont val="標楷體"/>
        <family val="4"/>
        <charset val="136"/>
      </rPr>
      <t>目</t>
    </r>
    <phoneticPr fontId="2" type="noConversion"/>
  </si>
  <si>
    <r>
      <rPr>
        <b/>
        <sz val="11"/>
        <color indexed="9"/>
        <rFont val="標楷體"/>
        <family val="4"/>
        <charset val="136"/>
      </rPr>
      <t>項次</t>
    </r>
    <phoneticPr fontId="2" type="noConversion"/>
  </si>
  <si>
    <t>第1頁共1頁</t>
    <phoneticPr fontId="2" type="noConversion"/>
  </si>
  <si>
    <t>服務成本分析</t>
    <phoneticPr fontId="2" type="noConversion"/>
  </si>
  <si>
    <t>M</t>
    <phoneticPr fontId="3" type="noConversion"/>
  </si>
  <si>
    <r>
      <rPr>
        <sz val="11"/>
        <color theme="0"/>
        <rFont val="標楷體"/>
        <family val="4"/>
        <charset val="136"/>
      </rPr>
      <t>總</t>
    </r>
    <r>
      <rPr>
        <sz val="11"/>
        <color theme="0"/>
        <rFont val="Times New Roman"/>
        <family val="1"/>
      </rPr>
      <t xml:space="preserve">   </t>
    </r>
    <r>
      <rPr>
        <sz val="11"/>
        <color theme="0"/>
        <rFont val="標楷體"/>
        <family val="4"/>
        <charset val="136"/>
      </rPr>
      <t>價</t>
    </r>
  </si>
  <si>
    <r>
      <rPr>
        <sz val="11"/>
        <color theme="0"/>
        <rFont val="標楷體"/>
        <family val="4"/>
        <charset val="136"/>
      </rPr>
      <t>備</t>
    </r>
    <r>
      <rPr>
        <sz val="11"/>
        <color theme="0"/>
        <rFont val="Times New Roman"/>
        <family val="1"/>
      </rPr>
      <t xml:space="preserve">   </t>
    </r>
    <r>
      <rPr>
        <sz val="11"/>
        <color theme="0"/>
        <rFont val="標楷體"/>
        <family val="4"/>
        <charset val="136"/>
      </rPr>
      <t>註</t>
    </r>
  </si>
  <si>
    <r>
      <rPr>
        <sz val="12"/>
        <color theme="0"/>
        <rFont val="標楷體"/>
        <family val="4"/>
        <charset val="136"/>
      </rPr>
      <t>項次</t>
    </r>
    <phoneticPr fontId="3" type="noConversion"/>
  </si>
  <si>
    <r>
      <t xml:space="preserve">   </t>
    </r>
    <r>
      <rPr>
        <sz val="12"/>
        <color theme="0"/>
        <rFont val="標楷體"/>
        <family val="4"/>
        <charset val="136"/>
      </rPr>
      <t>項</t>
    </r>
    <r>
      <rPr>
        <sz val="12"/>
        <color theme="0"/>
        <rFont val="Times New Roman"/>
        <family val="1"/>
      </rPr>
      <t xml:space="preserve">  </t>
    </r>
    <r>
      <rPr>
        <sz val="12"/>
        <color theme="0"/>
        <rFont val="標楷體"/>
        <family val="4"/>
        <charset val="136"/>
      </rPr>
      <t>目</t>
    </r>
    <r>
      <rPr>
        <sz val="12"/>
        <color theme="0"/>
        <rFont val="Times New Roman"/>
        <family val="1"/>
      </rPr>
      <t xml:space="preserve">   </t>
    </r>
    <r>
      <rPr>
        <sz val="12"/>
        <color theme="0"/>
        <rFont val="標楷體"/>
        <family val="4"/>
        <charset val="136"/>
      </rPr>
      <t>及</t>
    </r>
    <r>
      <rPr>
        <sz val="12"/>
        <color theme="0"/>
        <rFont val="Times New Roman"/>
        <family val="1"/>
      </rPr>
      <t xml:space="preserve">   </t>
    </r>
    <r>
      <rPr>
        <sz val="12"/>
        <color theme="0"/>
        <rFont val="標楷體"/>
        <family val="4"/>
        <charset val="136"/>
      </rPr>
      <t>說</t>
    </r>
    <r>
      <rPr>
        <sz val="12"/>
        <color theme="0"/>
        <rFont val="Times New Roman"/>
        <family val="1"/>
      </rPr>
      <t xml:space="preserve">  </t>
    </r>
    <r>
      <rPr>
        <sz val="12"/>
        <color theme="0"/>
        <rFont val="標楷體"/>
        <family val="4"/>
        <charset val="136"/>
      </rPr>
      <t>明</t>
    </r>
    <phoneticPr fontId="2" type="noConversion"/>
  </si>
  <si>
    <r>
      <rPr>
        <sz val="12"/>
        <color theme="0"/>
        <rFont val="標楷體"/>
        <family val="4"/>
        <charset val="136"/>
      </rPr>
      <t>單位</t>
    </r>
  </si>
  <si>
    <r>
      <rPr>
        <sz val="12"/>
        <color theme="0"/>
        <rFont val="標楷體"/>
        <family val="4"/>
        <charset val="136"/>
      </rPr>
      <t>數</t>
    </r>
    <r>
      <rPr>
        <sz val="12"/>
        <color theme="0"/>
        <rFont val="Times New Roman"/>
        <family val="1"/>
      </rPr>
      <t xml:space="preserve">   </t>
    </r>
    <r>
      <rPr>
        <sz val="12"/>
        <color theme="0"/>
        <rFont val="標楷體"/>
        <family val="4"/>
        <charset val="136"/>
      </rPr>
      <t>量</t>
    </r>
  </si>
  <si>
    <r>
      <rPr>
        <sz val="12"/>
        <color theme="0"/>
        <rFont val="標楷體"/>
        <family val="4"/>
        <charset val="136"/>
      </rPr>
      <t>單</t>
    </r>
    <r>
      <rPr>
        <sz val="12"/>
        <color theme="0"/>
        <rFont val="Times New Roman"/>
        <family val="1"/>
      </rPr>
      <t xml:space="preserve">   </t>
    </r>
    <r>
      <rPr>
        <sz val="12"/>
        <color theme="0"/>
        <rFont val="標楷體"/>
        <family val="4"/>
        <charset val="136"/>
      </rPr>
      <t>價</t>
    </r>
  </si>
  <si>
    <r>
      <rPr>
        <sz val="12"/>
        <rFont val="標楷體"/>
        <family val="4"/>
        <charset val="136"/>
      </rPr>
      <t>壹</t>
    </r>
    <phoneticPr fontId="2" type="noConversion"/>
  </si>
  <si>
    <r>
      <rPr>
        <sz val="12"/>
        <rFont val="標楷體"/>
        <family val="4"/>
        <charset val="136"/>
      </rPr>
      <t>發包工作費</t>
    </r>
  </si>
  <si>
    <r>
      <rPr>
        <sz val="12"/>
        <rFont val="標楷體"/>
        <family val="4"/>
        <charset val="136"/>
      </rPr>
      <t>一</t>
    </r>
    <phoneticPr fontId="3" type="noConversion"/>
  </si>
  <si>
    <r>
      <rPr>
        <sz val="12"/>
        <rFont val="標楷體"/>
        <family val="4"/>
        <charset val="136"/>
      </rPr>
      <t>株</t>
    </r>
    <phoneticPr fontId="3" type="noConversion"/>
  </si>
  <si>
    <r>
      <rPr>
        <sz val="12"/>
        <rFont val="標楷體"/>
        <family val="4"/>
        <charset val="136"/>
      </rPr>
      <t>式</t>
    </r>
    <phoneticPr fontId="3" type="noConversion"/>
  </si>
  <si>
    <r>
      <t>M</t>
    </r>
    <r>
      <rPr>
        <vertAlign val="superscript"/>
        <sz val="12"/>
        <rFont val="Times New Roman"/>
        <family val="1"/>
      </rPr>
      <t>2</t>
    </r>
    <phoneticPr fontId="3" type="noConversion"/>
  </si>
  <si>
    <r>
      <rPr>
        <sz val="12"/>
        <rFont val="標楷體"/>
        <family val="4"/>
        <charset val="136"/>
      </rPr>
      <t>二</t>
    </r>
    <phoneticPr fontId="3" type="noConversion"/>
  </si>
  <si>
    <r>
      <rPr>
        <sz val="12"/>
        <rFont val="標楷體"/>
        <family val="4"/>
        <charset val="136"/>
      </rPr>
      <t>景觀步道工程</t>
    </r>
    <phoneticPr fontId="3" type="noConversion"/>
  </si>
  <si>
    <r>
      <rPr>
        <sz val="12"/>
        <rFont val="標楷體"/>
        <family val="4"/>
        <charset val="136"/>
      </rPr>
      <t>鋪設透水地磚</t>
    </r>
    <phoneticPr fontId="3" type="noConversion"/>
  </si>
  <si>
    <r>
      <rPr>
        <sz val="12"/>
        <rFont val="標楷體"/>
        <family val="4"/>
        <charset val="136"/>
      </rPr>
      <t>三</t>
    </r>
    <phoneticPr fontId="3" type="noConversion"/>
  </si>
  <si>
    <r>
      <rPr>
        <sz val="12"/>
        <color theme="1"/>
        <rFont val="標楷體"/>
        <family val="4"/>
        <charset val="136"/>
      </rPr>
      <t>既有喬木移植</t>
    </r>
    <phoneticPr fontId="3" type="noConversion"/>
  </si>
  <si>
    <r>
      <rPr>
        <sz val="12"/>
        <rFont val="標楷體"/>
        <family val="4"/>
        <charset val="136"/>
      </rPr>
      <t>四</t>
    </r>
    <phoneticPr fontId="3" type="noConversion"/>
  </si>
  <si>
    <r>
      <rPr>
        <sz val="12"/>
        <rFont val="標楷體"/>
        <family val="4"/>
        <charset val="136"/>
      </rPr>
      <t>隔離綠帶整地植栽工程</t>
    </r>
    <phoneticPr fontId="3" type="noConversion"/>
  </si>
  <si>
    <r>
      <rPr>
        <sz val="12"/>
        <color theme="1"/>
        <rFont val="標楷體"/>
        <family val="4"/>
        <charset val="136"/>
      </rPr>
      <t>雜物清除及整地</t>
    </r>
    <phoneticPr fontId="3" type="noConversion"/>
  </si>
  <si>
    <r>
      <rPr>
        <sz val="12"/>
        <rFont val="標楷體"/>
        <family val="4"/>
        <charset val="136"/>
      </rPr>
      <t>新植喬木</t>
    </r>
    <phoneticPr fontId="3" type="noConversion"/>
  </si>
  <si>
    <r>
      <rPr>
        <sz val="12"/>
        <rFont val="標楷體"/>
        <family val="4"/>
        <charset val="136"/>
      </rPr>
      <t>新植灌木</t>
    </r>
    <phoneticPr fontId="3" type="noConversion"/>
  </si>
  <si>
    <r>
      <rPr>
        <sz val="12"/>
        <rFont val="標楷體"/>
        <family val="4"/>
        <charset val="136"/>
      </rPr>
      <t>五</t>
    </r>
    <phoneticPr fontId="3" type="noConversion"/>
  </si>
  <si>
    <r>
      <rPr>
        <sz val="12"/>
        <rFont val="標楷體"/>
        <family val="4"/>
        <charset val="136"/>
      </rPr>
      <t>六</t>
    </r>
    <phoneticPr fontId="3" type="noConversion"/>
  </si>
  <si>
    <r>
      <rPr>
        <sz val="12"/>
        <rFont val="標楷體"/>
        <family val="4"/>
        <charset val="136"/>
      </rPr>
      <t>七</t>
    </r>
    <phoneticPr fontId="3" type="noConversion"/>
  </si>
  <si>
    <r>
      <rPr>
        <sz val="12"/>
        <rFont val="標楷體"/>
        <family val="4"/>
        <charset val="136"/>
      </rPr>
      <t>八</t>
    </r>
    <phoneticPr fontId="3" type="noConversion"/>
  </si>
  <si>
    <r>
      <rPr>
        <sz val="12"/>
        <rFont val="標楷體"/>
        <family val="4"/>
        <charset val="136"/>
      </rPr>
      <t>雜項及假設工程</t>
    </r>
    <phoneticPr fontId="3" type="noConversion"/>
  </si>
  <si>
    <r>
      <rPr>
        <sz val="12"/>
        <rFont val="標楷體"/>
        <family val="4"/>
        <charset val="136"/>
      </rPr>
      <t>工程告示牌</t>
    </r>
    <phoneticPr fontId="3" type="noConversion"/>
  </si>
  <si>
    <r>
      <rPr>
        <sz val="12"/>
        <rFont val="標楷體"/>
        <family val="4"/>
        <charset val="136"/>
      </rPr>
      <t>面</t>
    </r>
    <phoneticPr fontId="3" type="noConversion"/>
  </si>
  <si>
    <r>
      <rPr>
        <sz val="12"/>
        <rFont val="標楷體"/>
        <family val="4"/>
        <charset val="136"/>
      </rPr>
      <t>測量及放樣</t>
    </r>
    <phoneticPr fontId="3" type="noConversion"/>
  </si>
  <si>
    <r>
      <rPr>
        <sz val="12"/>
        <rFont val="標楷體"/>
        <family val="4"/>
        <charset val="136"/>
      </rPr>
      <t>施工安全圍籬</t>
    </r>
    <phoneticPr fontId="3" type="noConversion"/>
  </si>
  <si>
    <r>
      <rPr>
        <sz val="12"/>
        <rFont val="標楷體"/>
        <family val="4"/>
        <charset val="136"/>
      </rPr>
      <t>雜樹及雜草修剪及清運</t>
    </r>
    <phoneticPr fontId="3" type="noConversion"/>
  </si>
  <si>
    <r>
      <rPr>
        <sz val="12"/>
        <rFont val="標楷體"/>
        <family val="4"/>
        <charset val="136"/>
      </rPr>
      <t>其他雜項工項</t>
    </r>
    <phoneticPr fontId="3" type="noConversion"/>
  </si>
  <si>
    <r>
      <rPr>
        <sz val="12"/>
        <rFont val="標楷體"/>
        <family val="4"/>
        <charset val="136"/>
      </rPr>
      <t>九</t>
    </r>
    <phoneticPr fontId="3" type="noConversion"/>
  </si>
  <si>
    <r>
      <rPr>
        <sz val="12"/>
        <rFont val="標楷體"/>
        <family val="4"/>
        <charset val="136"/>
      </rPr>
      <t>材料試驗費</t>
    </r>
    <phoneticPr fontId="3" type="noConversion"/>
  </si>
  <si>
    <r>
      <rPr>
        <sz val="12"/>
        <rFont val="標楷體"/>
        <family val="4"/>
        <charset val="136"/>
      </rPr>
      <t>式</t>
    </r>
  </si>
  <si>
    <r>
      <rPr>
        <sz val="12"/>
        <rFont val="標楷體"/>
        <family val="4"/>
        <charset val="136"/>
      </rPr>
      <t>貳</t>
    </r>
    <r>
      <rPr>
        <sz val="12"/>
        <rFont val="Times New Roman"/>
        <family val="1"/>
      </rPr>
      <t>.</t>
    </r>
  </si>
  <si>
    <r>
      <rPr>
        <sz val="12"/>
        <rFont val="標楷體"/>
        <family val="4"/>
        <charset val="136"/>
      </rPr>
      <t>參</t>
    </r>
    <r>
      <rPr>
        <sz val="12"/>
        <rFont val="Times New Roman"/>
        <family val="1"/>
      </rPr>
      <t>.</t>
    </r>
  </si>
  <si>
    <r>
      <rPr>
        <sz val="12"/>
        <rFont val="標楷體"/>
        <family val="4"/>
        <charset val="136"/>
      </rPr>
      <t>工程管理費</t>
    </r>
  </si>
  <si>
    <r>
      <rPr>
        <sz val="12"/>
        <rFont val="標楷體"/>
        <family val="4"/>
        <charset val="136"/>
      </rPr>
      <t>空氣污染防制費</t>
    </r>
  </si>
  <si>
    <r>
      <rPr>
        <sz val="11"/>
        <rFont val="標楷體"/>
        <family val="4"/>
        <charset val="136"/>
      </rPr>
      <t>經</t>
    </r>
    <r>
      <rPr>
        <sz val="11"/>
        <rFont val="Times New Roman"/>
        <family val="1"/>
      </rPr>
      <t xml:space="preserve">    </t>
    </r>
    <r>
      <rPr>
        <sz val="11"/>
        <rFont val="標楷體"/>
        <family val="4"/>
        <charset val="136"/>
      </rPr>
      <t>費</t>
    </r>
    <r>
      <rPr>
        <sz val="11"/>
        <rFont val="Times New Roman"/>
        <family val="1"/>
      </rPr>
      <t xml:space="preserve">    </t>
    </r>
    <r>
      <rPr>
        <sz val="11"/>
        <rFont val="標楷體"/>
        <family val="4"/>
        <charset val="136"/>
      </rPr>
      <t>概</t>
    </r>
    <r>
      <rPr>
        <sz val="11"/>
        <rFont val="Times New Roman"/>
        <family val="1"/>
      </rPr>
      <t xml:space="preserve">    </t>
    </r>
    <r>
      <rPr>
        <sz val="11"/>
        <rFont val="標楷體"/>
        <family val="4"/>
        <charset val="136"/>
      </rPr>
      <t>估</t>
    </r>
    <phoneticPr fontId="2" type="noConversion"/>
  </si>
  <si>
    <r>
      <rPr>
        <sz val="12"/>
        <rFont val="標楷體"/>
        <family val="4"/>
        <charset val="136"/>
      </rPr>
      <t>鋪設植草磚</t>
    </r>
    <phoneticPr fontId="3" type="noConversion"/>
  </si>
  <si>
    <r>
      <rPr>
        <sz val="12"/>
        <rFont val="標楷體"/>
        <family val="4"/>
        <charset val="136"/>
      </rPr>
      <t>草皮基礎鋪壓</t>
    </r>
    <phoneticPr fontId="3" type="noConversion"/>
  </si>
  <si>
    <r>
      <rPr>
        <sz val="12"/>
        <rFont val="標楷體"/>
        <family val="4"/>
        <charset val="136"/>
      </rPr>
      <t>種植草皮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含工、材料</t>
    </r>
    <r>
      <rPr>
        <sz val="12"/>
        <rFont val="Times New Roman"/>
        <family val="1"/>
      </rPr>
      <t>)</t>
    </r>
    <phoneticPr fontId="3" type="noConversion"/>
  </si>
  <si>
    <r>
      <rPr>
        <b/>
        <sz val="12"/>
        <rFont val="標楷體"/>
        <family val="4"/>
        <charset val="136"/>
      </rPr>
      <t>小計</t>
    </r>
    <r>
      <rPr>
        <b/>
        <sz val="12"/>
        <rFont val="Times New Roman"/>
        <family val="1"/>
      </rPr>
      <t>(</t>
    </r>
    <r>
      <rPr>
        <b/>
        <sz val="12"/>
        <rFont val="標楷體"/>
        <family val="4"/>
        <charset val="136"/>
      </rPr>
      <t>壹</t>
    </r>
    <r>
      <rPr>
        <b/>
        <sz val="12"/>
        <rFont val="Times New Roman"/>
        <family val="1"/>
      </rPr>
      <t>.</t>
    </r>
    <r>
      <rPr>
        <b/>
        <sz val="12"/>
        <rFont val="標楷體"/>
        <family val="4"/>
        <charset val="136"/>
      </rPr>
      <t>一</t>
    </r>
    <r>
      <rPr>
        <b/>
        <sz val="12"/>
        <rFont val="Times New Roman"/>
        <family val="1"/>
      </rPr>
      <t>~</t>
    </r>
    <r>
      <rPr>
        <b/>
        <sz val="12"/>
        <rFont val="標楷體"/>
        <family val="4"/>
        <charset val="136"/>
      </rPr>
      <t>壹</t>
    </r>
    <r>
      <rPr>
        <b/>
        <sz val="12"/>
        <rFont val="Times New Roman"/>
        <family val="1"/>
      </rPr>
      <t>.</t>
    </r>
    <r>
      <rPr>
        <b/>
        <sz val="12"/>
        <rFont val="標楷體"/>
        <family val="4"/>
        <charset val="136"/>
      </rPr>
      <t>四</t>
    </r>
    <r>
      <rPr>
        <b/>
        <sz val="12"/>
        <rFont val="Times New Roman"/>
        <family val="1"/>
      </rPr>
      <t xml:space="preserve"> )</t>
    </r>
    <phoneticPr fontId="2" type="noConversion"/>
  </si>
  <si>
    <r>
      <rPr>
        <sz val="12"/>
        <rFont val="標楷體"/>
        <family val="4"/>
        <charset val="136"/>
      </rPr>
      <t>工程品管費</t>
    </r>
    <phoneticPr fontId="2" type="noConversion"/>
  </si>
  <si>
    <r>
      <rPr>
        <sz val="12"/>
        <rFont val="標楷體"/>
        <family val="4"/>
        <charset val="136"/>
      </rPr>
      <t>交通維護費</t>
    </r>
    <phoneticPr fontId="3" type="noConversion"/>
  </si>
  <si>
    <r>
      <rPr>
        <sz val="12"/>
        <rFont val="標楷體"/>
        <family val="4"/>
        <charset val="136"/>
      </rPr>
      <t>職業安全衛生費</t>
    </r>
    <phoneticPr fontId="2" type="noConversion"/>
  </si>
  <si>
    <r>
      <rPr>
        <sz val="12"/>
        <rFont val="標楷體"/>
        <family val="4"/>
        <charset val="136"/>
      </rPr>
      <t>環境保護費</t>
    </r>
    <phoneticPr fontId="3" type="noConversion"/>
  </si>
  <si>
    <r>
      <rPr>
        <sz val="12"/>
        <rFont val="標楷體"/>
        <family val="4"/>
        <charset val="136"/>
      </rPr>
      <t>十</t>
    </r>
    <phoneticPr fontId="3" type="noConversion"/>
  </si>
  <si>
    <r>
      <rPr>
        <sz val="12"/>
        <rFont val="標楷體"/>
        <family val="4"/>
        <charset val="136"/>
      </rPr>
      <t>包商利潤及管理費</t>
    </r>
    <phoneticPr fontId="2" type="noConversion"/>
  </si>
  <si>
    <r>
      <rPr>
        <b/>
        <sz val="12"/>
        <rFont val="標楷體"/>
        <family val="4"/>
        <charset val="136"/>
      </rPr>
      <t>小計</t>
    </r>
    <r>
      <rPr>
        <b/>
        <sz val="12"/>
        <rFont val="Times New Roman"/>
        <family val="1"/>
      </rPr>
      <t>(</t>
    </r>
    <r>
      <rPr>
        <b/>
        <sz val="12"/>
        <rFont val="標楷體"/>
        <family val="4"/>
        <charset val="136"/>
      </rPr>
      <t>壹</t>
    </r>
    <r>
      <rPr>
        <b/>
        <sz val="12"/>
        <rFont val="Times New Roman"/>
        <family val="1"/>
      </rPr>
      <t>.</t>
    </r>
    <r>
      <rPr>
        <b/>
        <sz val="12"/>
        <rFont val="標楷體"/>
        <family val="4"/>
        <charset val="136"/>
      </rPr>
      <t>一</t>
    </r>
    <r>
      <rPr>
        <b/>
        <sz val="12"/>
        <rFont val="Times New Roman"/>
        <family val="1"/>
      </rPr>
      <t>~</t>
    </r>
    <r>
      <rPr>
        <b/>
        <sz val="12"/>
        <rFont val="標楷體"/>
        <family val="4"/>
        <charset val="136"/>
      </rPr>
      <t>壹</t>
    </r>
    <r>
      <rPr>
        <b/>
        <sz val="12"/>
        <rFont val="Times New Roman"/>
        <family val="1"/>
      </rPr>
      <t>.</t>
    </r>
    <r>
      <rPr>
        <b/>
        <sz val="12"/>
        <rFont val="標楷體"/>
        <family val="4"/>
        <charset val="136"/>
      </rPr>
      <t>十</t>
    </r>
    <r>
      <rPr>
        <b/>
        <sz val="12"/>
        <rFont val="Times New Roman"/>
        <family val="1"/>
      </rPr>
      <t xml:space="preserve"> )</t>
    </r>
    <phoneticPr fontId="2" type="noConversion"/>
  </si>
  <si>
    <r>
      <rPr>
        <sz val="12"/>
        <rFont val="標楷體"/>
        <family val="4"/>
        <charset val="136"/>
      </rPr>
      <t>十一</t>
    </r>
    <phoneticPr fontId="3" type="noConversion"/>
  </si>
  <si>
    <r>
      <rPr>
        <sz val="12"/>
        <rFont val="標楷體"/>
        <family val="4"/>
        <charset val="136"/>
      </rPr>
      <t>工程保險費</t>
    </r>
    <phoneticPr fontId="3" type="noConversion"/>
  </si>
  <si>
    <r>
      <rPr>
        <b/>
        <sz val="12"/>
        <rFont val="標楷體"/>
        <family val="4"/>
        <charset val="136"/>
      </rPr>
      <t>小計</t>
    </r>
    <r>
      <rPr>
        <b/>
        <sz val="12"/>
        <rFont val="Times New Roman"/>
        <family val="1"/>
      </rPr>
      <t>(</t>
    </r>
    <r>
      <rPr>
        <b/>
        <sz val="12"/>
        <rFont val="標楷體"/>
        <family val="4"/>
        <charset val="136"/>
      </rPr>
      <t>壹</t>
    </r>
    <r>
      <rPr>
        <b/>
        <sz val="12"/>
        <rFont val="Times New Roman"/>
        <family val="1"/>
      </rPr>
      <t>.</t>
    </r>
    <r>
      <rPr>
        <b/>
        <sz val="12"/>
        <rFont val="標楷體"/>
        <family val="4"/>
        <charset val="136"/>
      </rPr>
      <t>一</t>
    </r>
    <r>
      <rPr>
        <b/>
        <sz val="12"/>
        <rFont val="Times New Roman"/>
        <family val="1"/>
      </rPr>
      <t>~</t>
    </r>
    <r>
      <rPr>
        <b/>
        <sz val="12"/>
        <rFont val="標楷體"/>
        <family val="4"/>
        <charset val="136"/>
      </rPr>
      <t>壹</t>
    </r>
    <r>
      <rPr>
        <b/>
        <sz val="12"/>
        <rFont val="Times New Roman"/>
        <family val="1"/>
      </rPr>
      <t>.</t>
    </r>
    <r>
      <rPr>
        <b/>
        <sz val="12"/>
        <rFont val="標楷體"/>
        <family val="4"/>
        <charset val="136"/>
      </rPr>
      <t>十一</t>
    </r>
    <r>
      <rPr>
        <b/>
        <sz val="12"/>
        <rFont val="Times New Roman"/>
        <family val="1"/>
      </rPr>
      <t>)</t>
    </r>
    <phoneticPr fontId="2" type="noConversion"/>
  </si>
  <si>
    <r>
      <rPr>
        <sz val="12"/>
        <rFont val="標楷體"/>
        <family val="4"/>
        <charset val="136"/>
      </rPr>
      <t>營業稅</t>
    </r>
    <phoneticPr fontId="2" type="noConversion"/>
  </si>
  <si>
    <r>
      <rPr>
        <b/>
        <sz val="12"/>
        <rFont val="標楷體"/>
        <family val="4"/>
        <charset val="136"/>
      </rPr>
      <t>小計</t>
    </r>
    <r>
      <rPr>
        <b/>
        <sz val="12"/>
        <rFont val="Times New Roman"/>
        <family val="1"/>
      </rPr>
      <t>(</t>
    </r>
    <r>
      <rPr>
        <b/>
        <sz val="12"/>
        <rFont val="標楷體"/>
        <family val="4"/>
        <charset val="136"/>
      </rPr>
      <t>壹</t>
    </r>
    <r>
      <rPr>
        <b/>
        <sz val="12"/>
        <rFont val="Times New Roman"/>
        <family val="1"/>
      </rPr>
      <t>.</t>
    </r>
    <r>
      <rPr>
        <b/>
        <sz val="12"/>
        <rFont val="標楷體"/>
        <family val="4"/>
        <charset val="136"/>
      </rPr>
      <t>一</t>
    </r>
    <r>
      <rPr>
        <b/>
        <sz val="12"/>
        <rFont val="Times New Roman"/>
        <family val="1"/>
      </rPr>
      <t>~</t>
    </r>
    <r>
      <rPr>
        <b/>
        <sz val="12"/>
        <rFont val="標楷體"/>
        <family val="4"/>
        <charset val="136"/>
      </rPr>
      <t>壹</t>
    </r>
    <r>
      <rPr>
        <b/>
        <sz val="12"/>
        <rFont val="Times New Roman"/>
        <family val="1"/>
      </rPr>
      <t>.</t>
    </r>
    <r>
      <rPr>
        <b/>
        <sz val="12"/>
        <rFont val="標楷體"/>
        <family val="4"/>
        <charset val="136"/>
      </rPr>
      <t>十二</t>
    </r>
    <r>
      <rPr>
        <b/>
        <sz val="12"/>
        <rFont val="Times New Roman"/>
        <family val="1"/>
      </rPr>
      <t xml:space="preserve"> )</t>
    </r>
    <phoneticPr fontId="2" type="noConversion"/>
  </si>
  <si>
    <r>
      <rPr>
        <sz val="12"/>
        <rFont val="標楷體"/>
        <family val="4"/>
        <charset val="136"/>
      </rPr>
      <t>委託規劃設計監造費用</t>
    </r>
    <phoneticPr fontId="2" type="noConversion"/>
  </si>
  <si>
    <r>
      <rPr>
        <sz val="12"/>
        <rFont val="標楷體"/>
        <family val="4"/>
        <charset val="136"/>
      </rPr>
      <t>伍</t>
    </r>
    <r>
      <rPr>
        <sz val="12"/>
        <rFont val="Times New Roman"/>
        <family val="1"/>
      </rPr>
      <t>.</t>
    </r>
    <phoneticPr fontId="2" type="noConversion"/>
  </si>
  <si>
    <r>
      <rPr>
        <b/>
        <sz val="12"/>
        <rFont val="標楷體"/>
        <family val="4"/>
        <charset val="136"/>
      </rPr>
      <t>總</t>
    </r>
    <r>
      <rPr>
        <b/>
        <sz val="12"/>
        <rFont val="Times New Roman"/>
        <family val="1"/>
      </rPr>
      <t xml:space="preserve"> </t>
    </r>
    <r>
      <rPr>
        <b/>
        <sz val="12"/>
        <rFont val="標楷體"/>
        <family val="4"/>
        <charset val="136"/>
      </rPr>
      <t>計</t>
    </r>
    <phoneticPr fontId="2" type="noConversion"/>
  </si>
  <si>
    <r>
      <rPr>
        <sz val="12"/>
        <rFont val="標楷體"/>
        <family val="4"/>
        <charset val="136"/>
      </rPr>
      <t>建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議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下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期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工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程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預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算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總</t>
    </r>
    <r>
      <rPr>
        <sz val="12"/>
        <rFont val="Times New Roman"/>
        <family val="1"/>
      </rPr>
      <t xml:space="preserve">  </t>
    </r>
    <r>
      <rPr>
        <sz val="12"/>
        <rFont val="標楷體"/>
        <family val="4"/>
        <charset val="136"/>
      </rPr>
      <t>額</t>
    </r>
    <r>
      <rPr>
        <sz val="12"/>
        <rFont val="Times New Roman"/>
        <family val="1"/>
      </rPr>
      <t xml:space="preserve"> </t>
    </r>
    <phoneticPr fontId="3" type="noConversion"/>
  </si>
  <si>
    <r>
      <rPr>
        <sz val="11"/>
        <rFont val="標楷體"/>
        <family val="4"/>
        <charset val="136"/>
      </rPr>
      <t>約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一</t>
    </r>
    <r>
      <rPr>
        <sz val="11"/>
        <rFont val="Times New Roman"/>
        <family val="1"/>
      </rPr>
      <t>~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三</t>
    </r>
    <r>
      <rPr>
        <sz val="11"/>
        <rFont val="Times New Roman"/>
        <family val="1"/>
      </rPr>
      <t xml:space="preserve"> )1.0%</t>
    </r>
    <phoneticPr fontId="2" type="noConversion"/>
  </si>
  <si>
    <r>
      <rPr>
        <sz val="11"/>
        <rFont val="標楷體"/>
        <family val="4"/>
        <charset val="136"/>
      </rPr>
      <t>約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一</t>
    </r>
    <r>
      <rPr>
        <sz val="11"/>
        <rFont val="Times New Roman"/>
        <family val="1"/>
      </rPr>
      <t>~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三</t>
    </r>
    <r>
      <rPr>
        <sz val="11"/>
        <rFont val="Times New Roman"/>
        <family val="1"/>
      </rPr>
      <t xml:space="preserve"> )0.5%</t>
    </r>
    <phoneticPr fontId="2" type="noConversion"/>
  </si>
  <si>
    <r>
      <rPr>
        <sz val="11"/>
        <rFont val="標楷體"/>
        <family val="4"/>
        <charset val="136"/>
      </rPr>
      <t>約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一</t>
    </r>
    <r>
      <rPr>
        <sz val="11"/>
        <rFont val="Times New Roman"/>
        <family val="1"/>
      </rPr>
      <t>~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八</t>
    </r>
    <r>
      <rPr>
        <sz val="11"/>
        <rFont val="Times New Roman"/>
        <family val="1"/>
      </rPr>
      <t>)7.0%</t>
    </r>
    <phoneticPr fontId="2" type="noConversion"/>
  </si>
  <si>
    <r>
      <rPr>
        <sz val="11"/>
        <rFont val="標楷體"/>
        <family val="4"/>
        <charset val="136"/>
      </rPr>
      <t>約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一</t>
    </r>
    <r>
      <rPr>
        <sz val="11"/>
        <rFont val="Times New Roman"/>
        <family val="1"/>
      </rPr>
      <t>~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九</t>
    </r>
    <r>
      <rPr>
        <sz val="11"/>
        <rFont val="Times New Roman"/>
        <family val="1"/>
      </rPr>
      <t>)0.8%</t>
    </r>
    <phoneticPr fontId="2" type="noConversion"/>
  </si>
  <si>
    <r>
      <rPr>
        <sz val="11"/>
        <rFont val="標楷體"/>
        <family val="4"/>
        <charset val="136"/>
      </rPr>
      <t>約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一</t>
    </r>
    <r>
      <rPr>
        <sz val="11"/>
        <rFont val="Times New Roman"/>
        <family val="1"/>
      </rPr>
      <t>~</t>
    </r>
    <r>
      <rPr>
        <sz val="11"/>
        <rFont val="標楷體"/>
        <family val="4"/>
        <charset val="136"/>
      </rPr>
      <t>壹</t>
    </r>
    <r>
      <rPr>
        <sz val="11"/>
        <rFont val="Times New Roman"/>
        <family val="1"/>
      </rPr>
      <t>.</t>
    </r>
    <r>
      <rPr>
        <sz val="11"/>
        <rFont val="標楷體"/>
        <family val="4"/>
        <charset val="136"/>
      </rPr>
      <t>九</t>
    </r>
    <r>
      <rPr>
        <sz val="11"/>
        <rFont val="Times New Roman"/>
        <family val="1"/>
      </rPr>
      <t>)5.0%</t>
    </r>
    <phoneticPr fontId="3" type="noConversion"/>
  </si>
  <si>
    <t>元整</t>
    <phoneticPr fontId="2" type="noConversion"/>
  </si>
  <si>
    <t>新台幣</t>
    <phoneticPr fontId="2" type="noConversion"/>
  </si>
  <si>
    <t>本工程服務費用計</t>
    <phoneticPr fontId="2" type="noConversion"/>
  </si>
  <si>
    <t>本項費用已包含至上列各項費用中</t>
  </si>
  <si>
    <t>式</t>
  </si>
  <si>
    <t>專業責任保險</t>
  </si>
  <si>
    <t>五</t>
    <phoneticPr fontId="2" type="noConversion"/>
  </si>
  <si>
    <t>及他雜資（含行政作業費）</t>
    <phoneticPr fontId="2" type="noConversion"/>
  </si>
  <si>
    <t>電腦軟體使用費</t>
    <phoneticPr fontId="2" type="noConversion"/>
  </si>
  <si>
    <t>差旅費</t>
    <phoneticPr fontId="2" type="noConversion"/>
  </si>
  <si>
    <t>人月</t>
    <phoneticPr fontId="2" type="noConversion"/>
  </si>
  <si>
    <t>監造工程人員薪資</t>
    <phoneticPr fontId="2" type="noConversion"/>
  </si>
  <si>
    <t>專案設計師薪資</t>
    <phoneticPr fontId="2" type="noConversion"/>
  </si>
  <si>
    <t>計畫主持人薪資</t>
    <phoneticPr fontId="2" type="noConversion"/>
  </si>
  <si>
    <t>工作項目所佔權重44％</t>
    <phoneticPr fontId="2" type="noConversion"/>
  </si>
  <si>
    <t>四</t>
    <phoneticPr fontId="2" type="noConversion"/>
  </si>
  <si>
    <t>監造</t>
    <phoneticPr fontId="2" type="noConversion"/>
  </si>
  <si>
    <t>協助招標及施工諮詢</t>
    <phoneticPr fontId="2" type="noConversion"/>
  </si>
  <si>
    <t>三</t>
    <phoneticPr fontId="2" type="noConversion"/>
  </si>
  <si>
    <t>撰寫及編印費</t>
    <phoneticPr fontId="2" type="noConversion"/>
  </si>
  <si>
    <t>電腦軟硬體使用費</t>
    <phoneticPr fontId="2" type="noConversion"/>
  </si>
  <si>
    <t>工程師薪資</t>
    <phoneticPr fontId="2" type="noConversion"/>
  </si>
  <si>
    <t>細部設計</t>
    <phoneticPr fontId="2" type="noConversion"/>
  </si>
  <si>
    <t>二</t>
    <phoneticPr fontId="2" type="noConversion"/>
  </si>
  <si>
    <t>式</t>
    <phoneticPr fontId="2" type="noConversion"/>
  </si>
  <si>
    <t>整理及編印費</t>
    <phoneticPr fontId="2" type="noConversion"/>
  </si>
  <si>
    <t>專案設計薪資</t>
    <phoneticPr fontId="2" type="noConversion"/>
  </si>
  <si>
    <t>測量費</t>
    <phoneticPr fontId="2" type="noConversion"/>
  </si>
  <si>
    <t>資料蒐集費</t>
    <phoneticPr fontId="2" type="noConversion"/>
  </si>
  <si>
    <t>工作項目所佔權重56％</t>
    <phoneticPr fontId="2" type="noConversion"/>
  </si>
  <si>
    <t>基本設計</t>
    <phoneticPr fontId="2" type="noConversion"/>
  </si>
  <si>
    <t>一</t>
    <phoneticPr fontId="2" type="noConversion"/>
  </si>
  <si>
    <t>設計及協辦招標決標</t>
    <phoneticPr fontId="2" type="noConversion"/>
  </si>
  <si>
    <t>附註</t>
    <phoneticPr fontId="2" type="noConversion"/>
  </si>
  <si>
    <t>金 額</t>
  </si>
  <si>
    <t>單 價</t>
  </si>
  <si>
    <t>數量</t>
  </si>
  <si>
    <t>單位</t>
  </si>
  <si>
    <t>說明</t>
    <phoneticPr fontId="2" type="noConversion"/>
  </si>
  <si>
    <t>工  作  項  目</t>
    <phoneticPr fontId="2" type="noConversion"/>
  </si>
  <si>
    <t>項次</t>
    <phoneticPr fontId="2" type="noConversion"/>
  </si>
  <si>
    <t>一</t>
    <phoneticPr fontId="3" type="noConversion"/>
  </si>
  <si>
    <t>二</t>
    <phoneticPr fontId="3" type="noConversion"/>
  </si>
  <si>
    <t>三</t>
    <phoneticPr fontId="3" type="noConversion"/>
  </si>
  <si>
    <t>四</t>
    <phoneticPr fontId="3" type="noConversion"/>
  </si>
  <si>
    <t>五</t>
    <phoneticPr fontId="3" type="noConversion"/>
  </si>
  <si>
    <t>六</t>
    <phoneticPr fontId="3" type="noConversion"/>
  </si>
  <si>
    <t>七</t>
    <phoneticPr fontId="3" type="noConversion"/>
  </si>
  <si>
    <t>八</t>
    <phoneticPr fontId="3" type="noConversion"/>
  </si>
  <si>
    <t>九</t>
    <phoneticPr fontId="3" type="noConversion"/>
  </si>
  <si>
    <t>十</t>
    <phoneticPr fontId="3" type="noConversion"/>
  </si>
  <si>
    <t>十一</t>
    <phoneticPr fontId="3" type="noConversion"/>
  </si>
  <si>
    <t>十二</t>
    <phoneticPr fontId="3" type="noConversion"/>
  </si>
  <si>
    <t>十三</t>
    <phoneticPr fontId="3" type="noConversion"/>
  </si>
  <si>
    <t>綠建築標章工程</t>
    <phoneticPr fontId="3" type="noConversion"/>
  </si>
  <si>
    <t>景觀步道工程</t>
    <phoneticPr fontId="3" type="noConversion"/>
  </si>
  <si>
    <t>排水溝工程</t>
    <phoneticPr fontId="3" type="noConversion"/>
  </si>
  <si>
    <t>隔離綠帶整地植栽工程</t>
    <phoneticPr fontId="3" type="noConversion"/>
  </si>
  <si>
    <t>休憩座椅</t>
    <phoneticPr fontId="3" type="noConversion"/>
  </si>
  <si>
    <t>大陽能風電路燈</t>
    <phoneticPr fontId="3" type="noConversion"/>
  </si>
  <si>
    <t>噴灌設施工程</t>
    <phoneticPr fontId="3" type="noConversion"/>
  </si>
  <si>
    <t>雜項及假設工程</t>
    <phoneticPr fontId="3" type="noConversion"/>
  </si>
  <si>
    <t>材料試驗費</t>
    <phoneticPr fontId="3" type="noConversion"/>
  </si>
  <si>
    <t>工程品管費</t>
    <phoneticPr fontId="3" type="noConversion"/>
  </si>
  <si>
    <t>交通維護費</t>
    <phoneticPr fontId="3" type="noConversion"/>
  </si>
  <si>
    <t>十四</t>
    <phoneticPr fontId="3" type="noConversion"/>
  </si>
  <si>
    <t>十五</t>
    <phoneticPr fontId="3" type="noConversion"/>
  </si>
  <si>
    <t>十六</t>
    <phoneticPr fontId="3" type="noConversion"/>
  </si>
  <si>
    <t>包商利潤及管理費</t>
    <phoneticPr fontId="3" type="noConversion"/>
  </si>
  <si>
    <t>職業安全衛生費</t>
    <phoneticPr fontId="3" type="noConversion"/>
  </si>
  <si>
    <t>環境保護費</t>
    <phoneticPr fontId="3" type="noConversion"/>
  </si>
  <si>
    <t>工程保險費</t>
    <phoneticPr fontId="3" type="noConversion"/>
  </si>
  <si>
    <t>營業稅</t>
    <phoneticPr fontId="3" type="noConversion"/>
  </si>
  <si>
    <t>雜項及交維等</t>
    <phoneticPr fontId="42" type="noConversion"/>
  </si>
  <si>
    <t>八~十一</t>
    <phoneticPr fontId="42" type="noConversion"/>
  </si>
  <si>
    <t>勞安衛及環保</t>
    <phoneticPr fontId="42" type="noConversion"/>
  </si>
  <si>
    <t>利管、保險及營業稅</t>
    <phoneticPr fontId="42" type="noConversion"/>
  </si>
  <si>
    <t>十二~十三</t>
    <phoneticPr fontId="42" type="noConversion"/>
  </si>
  <si>
    <t>十四~十六</t>
    <phoneticPr fontId="42" type="noConversion"/>
  </si>
  <si>
    <t>職業安全衛生管理費</t>
    <phoneticPr fontId="2" type="noConversion"/>
  </si>
  <si>
    <t>1</t>
    <phoneticPr fontId="2" type="noConversion"/>
  </si>
  <si>
    <r>
      <rPr>
        <sz val="14"/>
        <color indexed="8"/>
        <rFont val="標楷體"/>
        <family val="4"/>
        <charset val="136"/>
      </rPr>
      <t>發包工作費</t>
    </r>
    <r>
      <rPr>
        <sz val="14"/>
        <color indexed="8"/>
        <rFont val="Times New Roman"/>
        <family val="1"/>
      </rPr>
      <t/>
    </r>
    <phoneticPr fontId="2" type="noConversion"/>
  </si>
  <si>
    <t>約0.8％</t>
    <phoneticPr fontId="2" type="noConversion"/>
  </si>
  <si>
    <t>約5%</t>
    <phoneticPr fontId="2" type="noConversion"/>
  </si>
  <si>
    <r>
      <rPr>
        <sz val="12"/>
        <color indexed="8"/>
        <rFont val="微軟正黑體"/>
        <family val="2"/>
        <charset val="136"/>
      </rPr>
      <t>式</t>
    </r>
  </si>
  <si>
    <t>工程品質管理費</t>
    <phoneticPr fontId="2" type="noConversion"/>
  </si>
  <si>
    <t>M2</t>
    <phoneticPr fontId="3" type="noConversion"/>
  </si>
  <si>
    <t>式</t>
    <phoneticPr fontId="3" type="noConversion"/>
  </si>
  <si>
    <t>式</t>
    <phoneticPr fontId="3" type="noConversion"/>
  </si>
  <si>
    <t>水泥砂漿地坪粉光(洩水坡度重抓)</t>
    <phoneticPr fontId="3" type="noConversion"/>
  </si>
  <si>
    <t>M2</t>
    <phoneticPr fontId="3" type="noConversion"/>
  </si>
  <si>
    <t>M2</t>
    <phoneticPr fontId="3" type="noConversion"/>
  </si>
  <si>
    <t>拆除工程(含清運證明)</t>
    <phoneticPr fontId="3" type="noConversion"/>
  </si>
  <si>
    <t>小便斗、馬桶設施工程(含配管)</t>
    <phoneticPr fontId="3" type="noConversion"/>
  </si>
  <si>
    <t>只</t>
    <phoneticPr fontId="3" type="noConversion"/>
  </si>
  <si>
    <t>處</t>
    <phoneticPr fontId="3" type="noConversion"/>
  </si>
  <si>
    <t>(含附件置物檯扶手等設施)</t>
    <phoneticPr fontId="3" type="noConversion"/>
  </si>
  <si>
    <t>(含鏡面、配管)</t>
    <phoneticPr fontId="3" type="noConversion"/>
  </si>
  <si>
    <r>
      <rPr>
        <sz val="10"/>
        <color rgb="FFFF0000"/>
        <rFont val="微軟正黑體"/>
        <family val="3"/>
        <charset val="136"/>
      </rPr>
      <t>規劃設計費</t>
    </r>
    <r>
      <rPr>
        <sz val="10"/>
        <color rgb="FFFF0000"/>
        <rFont val="華康中黑體"/>
        <family val="3"/>
        <charset val="136"/>
      </rPr>
      <t>小計（一～三）</t>
    </r>
    <phoneticPr fontId="2" type="noConversion"/>
  </si>
  <si>
    <r>
      <t>總計（一～</t>
    </r>
    <r>
      <rPr>
        <sz val="10"/>
        <rFont val="微軟正黑體"/>
        <family val="3"/>
        <charset val="136"/>
      </rPr>
      <t>五</t>
    </r>
    <r>
      <rPr>
        <sz val="10"/>
        <rFont val="華康中黑體"/>
        <family val="3"/>
        <charset val="136"/>
      </rPr>
      <t>）</t>
    </r>
    <phoneticPr fontId="2" type="noConversion"/>
  </si>
  <si>
    <t>彈性水泥防水工程(牆面H=150cm)</t>
    <phoneticPr fontId="3" type="noConversion"/>
  </si>
  <si>
    <r>
      <rPr>
        <sz val="14"/>
        <color indexed="8"/>
        <rFont val="微軟正黑體"/>
        <family val="2"/>
        <charset val="136"/>
      </rPr>
      <t>委託技術服務費</t>
    </r>
    <r>
      <rPr>
        <sz val="14"/>
        <color theme="1"/>
        <rFont val="微軟正黑體"/>
        <family val="2"/>
        <charset val="136"/>
      </rPr>
      <t>(設計費)</t>
    </r>
    <phoneticPr fontId="3" type="noConversion"/>
  </si>
  <si>
    <r>
      <rPr>
        <sz val="14"/>
        <color indexed="8"/>
        <rFont val="微軟正黑體"/>
        <family val="2"/>
        <charset val="136"/>
      </rPr>
      <t>式</t>
    </r>
  </si>
  <si>
    <t>磁磚工程(地磚、壁磚)(牆面H=150cm)</t>
    <phoneticPr fontId="3" type="noConversion"/>
  </si>
  <si>
    <t>(二道+抗張力網)</t>
    <phoneticPr fontId="3" type="noConversion"/>
  </si>
  <si>
    <t>約6%</t>
    <phoneticPr fontId="2" type="noConversion"/>
  </si>
  <si>
    <r>
      <rPr>
        <sz val="14"/>
        <color indexed="8"/>
        <rFont val="微軟正黑體"/>
        <family val="2"/>
        <charset val="136"/>
      </rPr>
      <t>空氣污染防制費</t>
    </r>
    <r>
      <rPr>
        <sz val="14"/>
        <color theme="1"/>
        <rFont val="微軟正黑體"/>
        <family val="2"/>
        <charset val="136"/>
      </rPr>
      <t>(約0.35%)</t>
    </r>
    <phoneticPr fontId="3" type="noConversion"/>
  </si>
  <si>
    <r>
      <rPr>
        <sz val="10"/>
        <color rgb="FFFF0000"/>
        <rFont val="微軟正黑體"/>
        <family val="3"/>
        <charset val="136"/>
      </rPr>
      <t>監造費</t>
    </r>
    <r>
      <rPr>
        <sz val="10"/>
        <color rgb="FFFF0000"/>
        <rFont val="華康中黑體"/>
        <family val="3"/>
        <charset val="136"/>
      </rPr>
      <t>小計（四）</t>
    </r>
    <phoneticPr fontId="2" type="noConversion"/>
  </si>
  <si>
    <r>
      <t>監造階段(</t>
    </r>
    <r>
      <rPr>
        <b/>
        <sz val="10"/>
        <rFont val="新細明體"/>
        <family val="3"/>
        <charset val="136"/>
      </rPr>
      <t>後續擴充</t>
    </r>
    <r>
      <rPr>
        <b/>
        <sz val="10"/>
        <rFont val="Calibri"/>
        <family val="3"/>
      </rPr>
      <t>)</t>
    </r>
    <phoneticPr fontId="2" type="noConversion"/>
  </si>
  <si>
    <t>實習大樓男廁整修工程</t>
    <phoneticPr fontId="3" type="noConversion"/>
  </si>
  <si>
    <t>壹.1</t>
    <phoneticPr fontId="2" type="noConversion"/>
  </si>
  <si>
    <t>式</t>
    <phoneticPr fontId="3" type="noConversion"/>
  </si>
  <si>
    <t>既有隔間、衛生設備設施、天花板、拆除</t>
    <phoneticPr fontId="3" type="noConversion"/>
  </si>
  <si>
    <t>格柵天花板(含燈具更新)</t>
    <phoneticPr fontId="3" type="noConversion"/>
  </si>
  <si>
    <t>人造石洗手檯設置(含拖布盆)</t>
    <phoneticPr fontId="3" type="noConversion"/>
  </si>
  <si>
    <t>雜項工程(含試水、視覺標示、緊急求救鈴
、鏡子、垂直綠化設計)</t>
    <phoneticPr fontId="3" type="noConversion"/>
  </si>
  <si>
    <t>假設工程(施工圍籬、工程告示牌、職業安全衛生告示牌)</t>
    <phoneticPr fontId="3" type="noConversion"/>
  </si>
  <si>
    <t>設備牆設置工程</t>
    <phoneticPr fontId="3" type="noConversion"/>
  </si>
  <si>
    <t>間</t>
    <phoneticPr fontId="3" type="noConversion"/>
  </si>
  <si>
    <t>實習大樓女廁整修工程</t>
    <phoneticPr fontId="3" type="noConversion"/>
  </si>
  <si>
    <t>壹.2</t>
    <phoneticPr fontId="2" type="noConversion"/>
  </si>
  <si>
    <t>壹.1.1.~13.小計</t>
    <phoneticPr fontId="2" type="noConversion"/>
  </si>
  <si>
    <t>壹.2.1.~13.小計</t>
    <phoneticPr fontId="2" type="noConversion"/>
  </si>
  <si>
    <t>預計設置2間男廁</t>
    <phoneticPr fontId="3" type="noConversion"/>
  </si>
  <si>
    <t>預計設置2間女廁</t>
    <phoneticPr fontId="3" type="noConversion"/>
  </si>
  <si>
    <t>貳</t>
    <phoneticPr fontId="3" type="noConversion"/>
  </si>
  <si>
    <t>直接工程費用(壹.1、壹.2)合計</t>
    <phoneticPr fontId="3" type="noConversion"/>
  </si>
  <si>
    <t>13mm熱固性樹脂板導擺</t>
    <phoneticPr fontId="3" type="noConversion"/>
  </si>
  <si>
    <t>貳.1</t>
    <phoneticPr fontId="3" type="noConversion"/>
  </si>
  <si>
    <t>貳.2</t>
    <phoneticPr fontId="3" type="noConversion"/>
  </si>
  <si>
    <t>貳.3</t>
    <phoneticPr fontId="3" type="noConversion"/>
  </si>
  <si>
    <t>貳.4</t>
    <phoneticPr fontId="3" type="noConversion"/>
  </si>
  <si>
    <r>
      <rPr>
        <sz val="14"/>
        <color indexed="8"/>
        <rFont val="Microsoft JhengHei Light"/>
        <family val="2"/>
        <charset val="136"/>
      </rPr>
      <t>壹</t>
    </r>
    <r>
      <rPr>
        <sz val="14"/>
        <color rgb="FF000000"/>
        <rFont val="Microsoft JhengHei Light"/>
        <family val="2"/>
        <charset val="136"/>
      </rPr>
      <t>~貳</t>
    </r>
    <r>
      <rPr>
        <sz val="14"/>
        <color indexed="8"/>
        <rFont val="Microsoft JhengHei Light"/>
        <family val="2"/>
        <charset val="136"/>
      </rPr>
      <t>.合計</t>
    </r>
    <phoneticPr fontId="3" type="noConversion"/>
  </si>
  <si>
    <t>參、間接工程費用</t>
    <phoneticPr fontId="2" type="noConversion"/>
  </si>
  <si>
    <t>參.1</t>
    <phoneticPr fontId="3" type="noConversion"/>
  </si>
  <si>
    <t>參.2</t>
    <phoneticPr fontId="3" type="noConversion"/>
  </si>
  <si>
    <t>貳.5</t>
    <phoneticPr fontId="3" type="noConversion"/>
  </si>
  <si>
    <t>約0.6％</t>
    <phoneticPr fontId="2" type="noConversion"/>
  </si>
  <si>
    <t>約1.2%</t>
    <phoneticPr fontId="3" type="noConversion"/>
  </si>
  <si>
    <t>營造綜合保險費</t>
    <phoneticPr fontId="3" type="noConversion"/>
  </si>
  <si>
    <t>營業稅</t>
    <phoneticPr fontId="3" type="noConversion"/>
  </si>
  <si>
    <r>
      <rPr>
        <sz val="14"/>
        <color indexed="8"/>
        <rFont val="標楷體"/>
        <family val="4"/>
        <charset val="136"/>
      </rPr>
      <t>項次</t>
    </r>
  </si>
  <si>
    <r>
      <rPr>
        <sz val="14"/>
        <color indexed="8"/>
        <rFont val="標楷體"/>
        <family val="4"/>
        <charset val="136"/>
      </rPr>
      <t>項</t>
    </r>
    <r>
      <rPr>
        <sz val="14"/>
        <color indexed="8"/>
        <rFont val="Times New Roman"/>
        <family val="1"/>
      </rPr>
      <t xml:space="preserve">  </t>
    </r>
    <r>
      <rPr>
        <sz val="14"/>
        <color indexed="8"/>
        <rFont val="標楷體"/>
        <family val="4"/>
        <charset val="136"/>
      </rPr>
      <t>目</t>
    </r>
    <r>
      <rPr>
        <sz val="14"/>
        <color indexed="8"/>
        <rFont val="Times New Roman"/>
        <family val="1"/>
      </rPr>
      <t xml:space="preserve">   </t>
    </r>
    <r>
      <rPr>
        <sz val="14"/>
        <color indexed="8"/>
        <rFont val="標楷體"/>
        <family val="4"/>
        <charset val="136"/>
      </rPr>
      <t>及</t>
    </r>
    <r>
      <rPr>
        <sz val="14"/>
        <color indexed="8"/>
        <rFont val="Times New Roman"/>
        <family val="1"/>
      </rPr>
      <t xml:space="preserve">   </t>
    </r>
    <r>
      <rPr>
        <sz val="14"/>
        <color indexed="8"/>
        <rFont val="標楷體"/>
        <family val="4"/>
        <charset val="136"/>
      </rPr>
      <t>說</t>
    </r>
    <r>
      <rPr>
        <sz val="14"/>
        <color indexed="8"/>
        <rFont val="Times New Roman"/>
        <family val="1"/>
      </rPr>
      <t xml:space="preserve">  </t>
    </r>
    <r>
      <rPr>
        <sz val="14"/>
        <color indexed="8"/>
        <rFont val="標楷體"/>
        <family val="4"/>
        <charset val="136"/>
      </rPr>
      <t>明</t>
    </r>
  </si>
  <si>
    <r>
      <rPr>
        <sz val="14"/>
        <color indexed="8"/>
        <rFont val="標楷體"/>
        <family val="4"/>
        <charset val="136"/>
      </rPr>
      <t>單位</t>
    </r>
  </si>
  <si>
    <r>
      <rPr>
        <sz val="14"/>
        <color indexed="8"/>
        <rFont val="標楷體"/>
        <family val="4"/>
        <charset val="136"/>
      </rPr>
      <t>數</t>
    </r>
    <r>
      <rPr>
        <sz val="14"/>
        <color indexed="8"/>
        <rFont val="Times New Roman"/>
        <family val="1"/>
      </rPr>
      <t xml:space="preserve">   </t>
    </r>
    <r>
      <rPr>
        <sz val="14"/>
        <color indexed="8"/>
        <rFont val="標楷體"/>
        <family val="4"/>
        <charset val="136"/>
      </rPr>
      <t>量</t>
    </r>
  </si>
  <si>
    <r>
      <rPr>
        <sz val="14"/>
        <color indexed="8"/>
        <rFont val="標楷體"/>
        <family val="4"/>
        <charset val="136"/>
      </rPr>
      <t>單</t>
    </r>
    <r>
      <rPr>
        <sz val="14"/>
        <color indexed="8"/>
        <rFont val="Times New Roman"/>
        <family val="1"/>
      </rPr>
      <t xml:space="preserve">   </t>
    </r>
    <r>
      <rPr>
        <sz val="14"/>
        <color indexed="8"/>
        <rFont val="標楷體"/>
        <family val="4"/>
        <charset val="136"/>
      </rPr>
      <t>價</t>
    </r>
  </si>
  <si>
    <r>
      <rPr>
        <sz val="14"/>
        <color indexed="8"/>
        <rFont val="標楷體"/>
        <family val="4"/>
        <charset val="136"/>
      </rPr>
      <t>總</t>
    </r>
    <r>
      <rPr>
        <sz val="14"/>
        <color indexed="8"/>
        <rFont val="Times New Roman"/>
        <family val="1"/>
      </rPr>
      <t xml:space="preserve">   </t>
    </r>
    <r>
      <rPr>
        <sz val="14"/>
        <color indexed="8"/>
        <rFont val="標楷體"/>
        <family val="4"/>
        <charset val="136"/>
      </rPr>
      <t>價</t>
    </r>
  </si>
  <si>
    <r>
      <rPr>
        <sz val="14"/>
        <color indexed="8"/>
        <rFont val="標楷體"/>
        <family val="4"/>
        <charset val="136"/>
      </rPr>
      <t>備</t>
    </r>
    <r>
      <rPr>
        <sz val="14"/>
        <color indexed="8"/>
        <rFont val="Times New Roman"/>
        <family val="1"/>
      </rPr>
      <t xml:space="preserve">   </t>
    </r>
    <r>
      <rPr>
        <sz val="14"/>
        <color indexed="8"/>
        <rFont val="標楷體"/>
        <family val="4"/>
        <charset val="136"/>
      </rPr>
      <t>註</t>
    </r>
  </si>
  <si>
    <r>
      <rPr>
        <sz val="14"/>
        <color indexed="8"/>
        <rFont val="標楷體"/>
        <family val="4"/>
        <charset val="136"/>
      </rPr>
      <t>壹</t>
    </r>
  </si>
  <si>
    <r>
      <t>壹~</t>
    </r>
    <r>
      <rPr>
        <sz val="14"/>
        <color rgb="FF000000"/>
        <rFont val="微軟正黑體"/>
        <family val="2"/>
        <charset val="136"/>
      </rPr>
      <t>參</t>
    </r>
    <r>
      <rPr>
        <sz val="14"/>
        <color indexed="8"/>
        <rFont val="微軟正黑體"/>
        <family val="2"/>
        <charset val="136"/>
      </rPr>
      <t xml:space="preserve"> 總計</t>
    </r>
    <phoneticPr fontId="2" type="noConversion"/>
  </si>
  <si>
    <t>建造費用比分比 500萬元以下8.6%，本公司願以98%承攬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</si>
</sst>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_-* #,##0.00_-;\-* #,##0.00_-;_-* &quot;-&quot;_-;_-@_-"/>
    <numFmt numFmtId="178" formatCode="#,##0.00_ "/>
    <numFmt numFmtId="179" formatCode="0.0%"/>
    <numFmt numFmtId="180" formatCode="0.0_);[Red]\(0.0\)"/>
    <numFmt numFmtId="181" formatCode="#,##0.00_);[Red]\(#,##0.00\)"/>
    <numFmt numFmtId="182" formatCode="0.00_);[Red]\(0.00\)"/>
    <numFmt numFmtId="183" formatCode="#,##0.00;[Red]#,##0.00"/>
    <numFmt numFmtId="184" formatCode="[DBNum2][$-404]General"/>
    <numFmt numFmtId="185" formatCode="_-* #,##0_-;\-* #,##0_-;_-* &quot;-&quot;??_-;_-@_-"/>
    <numFmt numFmtId="186" formatCode="#,##0_ "/>
    <numFmt numFmtId="187" formatCode="0_ "/>
    <numFmt numFmtId="188" formatCode="0.00;[Red]0.00"/>
    <numFmt numFmtId="189" formatCode="0.00_ "/>
    <numFmt numFmtId="190" formatCode="#,##0_);[Red]\(#,##0\)"/>
  </numFmts>
  <fonts count="67">
    <font>
      <sz val="12"/>
      <name val="Courier"/>
      <family val="3"/>
    </font>
    <font>
      <sz val="12"/>
      <name val="Courier"/>
      <family val="3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0"/>
      <name val="Helv"/>
      <family val="2"/>
    </font>
    <font>
      <sz val="11"/>
      <name val="微軟正黑體"/>
      <family val="2"/>
      <charset val="136"/>
    </font>
    <font>
      <sz val="10"/>
      <name val="微軟正黑體"/>
      <family val="2"/>
      <charset val="136"/>
    </font>
    <font>
      <sz val="12"/>
      <name val="微軟正黑體"/>
      <family val="2"/>
      <charset val="136"/>
    </font>
    <font>
      <sz val="8"/>
      <name val="微軟正黑體"/>
      <family val="2"/>
      <charset val="136"/>
    </font>
    <font>
      <sz val="10"/>
      <name val="華康中黑體"/>
      <family val="3"/>
      <charset val="136"/>
    </font>
    <font>
      <sz val="12"/>
      <color rgb="FF0000FF"/>
      <name val="標楷體"/>
      <family val="4"/>
      <charset val="136"/>
    </font>
    <font>
      <b/>
      <sz val="11"/>
      <name val="Times New Roman"/>
      <family val="1"/>
    </font>
    <font>
      <b/>
      <sz val="11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name val="標楷體"/>
      <family val="4"/>
      <charset val="136"/>
    </font>
    <font>
      <sz val="12"/>
      <name val="Times New Roman"/>
      <family val="1"/>
    </font>
    <font>
      <sz val="10"/>
      <color indexed="17"/>
      <name val="華康中黑體"/>
      <family val="3"/>
      <charset val="136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sz val="10"/>
      <color indexed="36"/>
      <name val="華康中黑體"/>
      <family val="3"/>
      <charset val="136"/>
    </font>
    <font>
      <sz val="10"/>
      <color indexed="10"/>
      <name val="華康中黑體"/>
      <family val="3"/>
      <charset val="136"/>
    </font>
    <font>
      <b/>
      <sz val="11"/>
      <color indexed="9"/>
      <name val="Times New Roman"/>
      <family val="1"/>
    </font>
    <font>
      <b/>
      <sz val="11"/>
      <color indexed="9"/>
      <name val="標楷體"/>
      <family val="4"/>
      <charset val="136"/>
    </font>
    <font>
      <sz val="18"/>
      <name val="華康中黑體"/>
      <family val="3"/>
      <charset val="136"/>
    </font>
    <font>
      <sz val="11"/>
      <color theme="0"/>
      <name val="標楷體"/>
      <family val="4"/>
      <charset val="136"/>
    </font>
    <font>
      <sz val="12"/>
      <name val="標楷體"/>
      <family val="4"/>
      <charset val="136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sz val="12"/>
      <color theme="0"/>
      <name val="Times New Roman"/>
      <family val="1"/>
    </font>
    <font>
      <sz val="12"/>
      <color theme="0"/>
      <name val="標楷體"/>
      <family val="4"/>
      <charset val="136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b/>
      <sz val="10"/>
      <name val="華康中黑體"/>
      <family val="3"/>
      <charset val="136"/>
    </font>
    <font>
      <b/>
      <sz val="10"/>
      <color indexed="9"/>
      <name val="華康中黑體"/>
      <family val="3"/>
      <charset val="136"/>
    </font>
    <font>
      <sz val="12"/>
      <name val="細明體"/>
      <family val="3"/>
      <charset val="136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4"/>
      <color theme="1"/>
      <name val="Times New Roman"/>
      <family val="1"/>
    </font>
    <font>
      <sz val="14"/>
      <color indexed="8"/>
      <name val="標楷體"/>
      <family val="4"/>
      <charset val="136"/>
    </font>
    <font>
      <sz val="14"/>
      <color indexed="8"/>
      <name val="Times New Roman"/>
      <family val="1"/>
    </font>
    <font>
      <sz val="10"/>
      <name val="微軟正黑體"/>
      <family val="3"/>
      <charset val="136"/>
    </font>
    <font>
      <sz val="10"/>
      <color rgb="FFFF0000"/>
      <name val="華康中黑體"/>
      <family val="3"/>
      <charset val="136"/>
    </font>
    <font>
      <sz val="10"/>
      <color rgb="FFFF0000"/>
      <name val="微軟正黑體"/>
      <family val="3"/>
      <charset val="136"/>
    </font>
    <font>
      <b/>
      <sz val="10"/>
      <name val="微軟正黑體"/>
      <family val="3"/>
      <charset val="136"/>
    </font>
    <font>
      <sz val="14"/>
      <color theme="1"/>
      <name val="微軟正黑體"/>
      <family val="2"/>
      <charset val="136"/>
    </font>
    <font>
      <sz val="14"/>
      <color indexed="8"/>
      <name val="微軟正黑體"/>
      <family val="2"/>
      <charset val="136"/>
    </font>
    <font>
      <b/>
      <sz val="10"/>
      <name val="新細明體"/>
      <family val="3"/>
      <charset val="136"/>
    </font>
    <font>
      <b/>
      <sz val="10"/>
      <name val="Calibri"/>
      <family val="3"/>
    </font>
    <font>
      <sz val="12"/>
      <color rgb="FF000000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4"/>
      <color rgb="FFFF0000"/>
      <name val="Times New Roman"/>
      <family val="1"/>
    </font>
    <font>
      <sz val="12"/>
      <color rgb="FFFF0000"/>
      <name val="微軟正黑體"/>
      <family val="2"/>
      <charset val="136"/>
    </font>
    <font>
      <sz val="14"/>
      <color theme="1"/>
      <name val="Microsoft JhengHei Light"/>
      <family val="2"/>
      <charset val="136"/>
    </font>
    <font>
      <sz val="14"/>
      <color indexed="8"/>
      <name val="Microsoft JhengHei Light"/>
      <family val="2"/>
      <charset val="136"/>
    </font>
    <font>
      <sz val="14"/>
      <color rgb="FF000000"/>
      <name val="Microsoft JhengHei Light"/>
      <family val="2"/>
      <charset val="136"/>
    </font>
    <font>
      <sz val="14"/>
      <color rgb="FF000000"/>
      <name val="Times New Roman"/>
      <family val="1"/>
    </font>
    <font>
      <sz val="14"/>
      <color rgb="FF0000FF"/>
      <name val="微軟正黑體"/>
      <family val="2"/>
      <charset val="136"/>
    </font>
    <font>
      <sz val="14"/>
      <color rgb="FF000000"/>
      <name val="微軟正黑體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BCAA2"/>
        <bgColor indexed="64"/>
      </patternFill>
    </fill>
    <fill>
      <patternFill patternType="solid">
        <fgColor rgb="FFFBCDA7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9B074"/>
      </right>
      <top/>
      <bottom style="medium">
        <color rgb="FFF9B074"/>
      </bottom>
      <diagonal/>
    </border>
  </borders>
  <cellStyleXfs count="11">
    <xf numFmtId="0" fontId="0" fillId="0" borderId="0"/>
    <xf numFmtId="0" fontId="1" fillId="0" borderId="0"/>
    <xf numFmtId="176" fontId="1" fillId="0" borderId="0" applyFont="0" applyFill="0" applyBorder="0" applyAlignment="0" applyProtection="0"/>
    <xf numFmtId="0" fontId="4" fillId="0" borderId="0"/>
    <xf numFmtId="0" fontId="5" fillId="0" borderId="0"/>
    <xf numFmtId="43" fontId="4" fillId="0" borderId="0" applyFont="0" applyFill="0" applyBorder="0" applyAlignment="0" applyProtection="0"/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3" fillId="0" borderId="0">
      <alignment vertical="center"/>
    </xf>
  </cellStyleXfs>
  <cellXfs count="285">
    <xf numFmtId="0" fontId="0" fillId="0" borderId="0" xfId="0"/>
    <xf numFmtId="179" fontId="6" fillId="3" borderId="0" xfId="1" applyNumberFormat="1" applyFont="1" applyFill="1" applyBorder="1" applyAlignment="1">
      <alignment horizontal="right" vertical="center"/>
    </xf>
    <xf numFmtId="0" fontId="7" fillId="3" borderId="0" xfId="1" applyFont="1" applyFill="1" applyAlignment="1">
      <alignment vertical="center"/>
    </xf>
    <xf numFmtId="0" fontId="8" fillId="3" borderId="0" xfId="1" applyFont="1" applyFill="1"/>
    <xf numFmtId="179" fontId="8" fillId="0" borderId="0" xfId="1" applyNumberFormat="1" applyFont="1"/>
    <xf numFmtId="0" fontId="7" fillId="0" borderId="0" xfId="1" applyFont="1" applyAlignment="1">
      <alignment vertical="center"/>
    </xf>
    <xf numFmtId="0" fontId="8" fillId="0" borderId="0" xfId="1" applyFont="1"/>
    <xf numFmtId="177" fontId="9" fillId="3" borderId="0" xfId="0" applyNumberFormat="1" applyFont="1" applyFill="1" applyBorder="1" applyAlignment="1">
      <alignment shrinkToFit="1"/>
    </xf>
    <xf numFmtId="0" fontId="9" fillId="3" borderId="0" xfId="0" applyFont="1" applyFill="1" applyBorder="1" applyAlignment="1">
      <alignment horizontal="left" shrinkToFit="1"/>
    </xf>
    <xf numFmtId="179" fontId="6" fillId="4" borderId="0" xfId="1" applyNumberFormat="1" applyFont="1" applyFill="1" applyBorder="1" applyAlignment="1">
      <alignment horizontal="right" vertical="center"/>
    </xf>
    <xf numFmtId="178" fontId="8" fillId="3" borderId="0" xfId="1" applyNumberFormat="1" applyFont="1" applyFill="1"/>
    <xf numFmtId="179" fontId="6" fillId="0" borderId="0" xfId="1" applyNumberFormat="1" applyFont="1" applyBorder="1" applyAlignment="1">
      <alignment horizontal="right" vertical="center"/>
    </xf>
    <xf numFmtId="4" fontId="6" fillId="0" borderId="0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180" fontId="8" fillId="0" borderId="0" xfId="1" applyNumberFormat="1" applyFont="1"/>
    <xf numFmtId="0" fontId="8" fillId="6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183" fontId="6" fillId="11" borderId="1" xfId="1" applyNumberFormat="1" applyFont="1" applyFill="1" applyBorder="1" applyAlignment="1">
      <alignment horizontal="right" vertical="center"/>
    </xf>
    <xf numFmtId="183" fontId="8" fillId="11" borderId="1" xfId="1" applyNumberFormat="1" applyFont="1" applyFill="1" applyBorder="1" applyAlignment="1">
      <alignment horizontal="right" vertical="center"/>
    </xf>
    <xf numFmtId="0" fontId="10" fillId="0" borderId="0" xfId="6" applyFont="1">
      <alignment vertical="center"/>
    </xf>
    <xf numFmtId="43" fontId="10" fillId="0" borderId="0" xfId="7" applyFont="1">
      <alignment vertical="center"/>
    </xf>
    <xf numFmtId="0" fontId="10" fillId="0" borderId="0" xfId="6" applyFont="1" applyAlignment="1">
      <alignment vertical="center" shrinkToFit="1"/>
    </xf>
    <xf numFmtId="43" fontId="10" fillId="0" borderId="0" xfId="7" applyFont="1" applyAlignment="1">
      <alignment vertical="center" shrinkToFit="1"/>
    </xf>
    <xf numFmtId="41" fontId="10" fillId="0" borderId="0" xfId="7" applyNumberFormat="1" applyFont="1" applyAlignment="1">
      <alignment vertical="center" shrinkToFit="1"/>
    </xf>
    <xf numFmtId="3" fontId="11" fillId="0" borderId="0" xfId="6" applyNumberFormat="1" applyFont="1" applyAlignment="1">
      <alignment vertical="center" shrinkToFit="1"/>
    </xf>
    <xf numFmtId="184" fontId="10" fillId="0" borderId="0" xfId="6" applyNumberFormat="1" applyFont="1">
      <alignment vertical="center"/>
    </xf>
    <xf numFmtId="0" fontId="10" fillId="12" borderId="0" xfId="6" applyFont="1" applyFill="1">
      <alignment vertical="center"/>
    </xf>
    <xf numFmtId="0" fontId="10" fillId="12" borderId="0" xfId="6" applyFont="1" applyFill="1" applyAlignment="1">
      <alignment horizontal="center" vertical="center"/>
    </xf>
    <xf numFmtId="43" fontId="10" fillId="12" borderId="0" xfId="7" applyFont="1" applyFill="1" applyAlignment="1">
      <alignment horizontal="center" vertical="center"/>
    </xf>
    <xf numFmtId="43" fontId="10" fillId="12" borderId="0" xfId="6" applyNumberFormat="1" applyFont="1" applyFill="1" applyAlignment="1">
      <alignment horizontal="center" vertical="center"/>
    </xf>
    <xf numFmtId="0" fontId="12" fillId="13" borderId="2" xfId="6" applyFont="1" applyFill="1" applyBorder="1" applyAlignment="1">
      <alignment vertical="center" wrapText="1"/>
    </xf>
    <xf numFmtId="0" fontId="12" fillId="13" borderId="5" xfId="6" applyFont="1" applyFill="1" applyBorder="1" applyAlignment="1">
      <alignment horizontal="justify" vertical="center" wrapText="1"/>
    </xf>
    <xf numFmtId="0" fontId="15" fillId="13" borderId="6" xfId="6" applyFont="1" applyFill="1" applyBorder="1" applyAlignment="1">
      <alignment horizontal="center" vertical="center" wrapText="1"/>
    </xf>
    <xf numFmtId="3" fontId="10" fillId="15" borderId="0" xfId="6" applyNumberFormat="1" applyFont="1" applyFill="1" applyAlignment="1">
      <alignment horizontal="center" vertical="center"/>
    </xf>
    <xf numFmtId="0" fontId="17" fillId="12" borderId="8" xfId="6" applyFont="1" applyFill="1" applyBorder="1" applyAlignment="1">
      <alignment horizontal="center" vertical="center" wrapText="1"/>
    </xf>
    <xf numFmtId="43" fontId="15" fillId="12" borderId="1" xfId="6" applyNumberFormat="1" applyFont="1" applyFill="1" applyBorder="1" applyAlignment="1">
      <alignment horizontal="center" vertical="center" wrapText="1"/>
    </xf>
    <xf numFmtId="0" fontId="17" fillId="12" borderId="1" xfId="6" applyFont="1" applyFill="1" applyBorder="1" applyAlignment="1">
      <alignment horizontal="center" vertical="center" wrapText="1"/>
    </xf>
    <xf numFmtId="43" fontId="17" fillId="12" borderId="1" xfId="7" applyFont="1" applyFill="1" applyBorder="1" applyAlignment="1">
      <alignment horizontal="center" vertical="center" wrapText="1"/>
    </xf>
    <xf numFmtId="0" fontId="16" fillId="12" borderId="1" xfId="6" applyFont="1" applyFill="1" applyBorder="1" applyAlignment="1">
      <alignment horizontal="center" vertical="center" wrapText="1"/>
    </xf>
    <xf numFmtId="0" fontId="16" fillId="12" borderId="1" xfId="6" applyFont="1" applyFill="1" applyBorder="1" applyAlignment="1">
      <alignment horizontal="justify" vertical="center" wrapText="1"/>
    </xf>
    <xf numFmtId="0" fontId="19" fillId="12" borderId="9" xfId="6" applyFont="1" applyFill="1" applyBorder="1" applyAlignment="1">
      <alignment horizontal="center" vertical="center" wrapText="1"/>
    </xf>
    <xf numFmtId="185" fontId="20" fillId="12" borderId="0" xfId="6" applyNumberFormat="1" applyFont="1" applyFill="1" applyAlignment="1">
      <alignment horizontal="center" vertical="center"/>
    </xf>
    <xf numFmtId="43" fontId="15" fillId="12" borderId="1" xfId="7" applyFont="1" applyFill="1" applyBorder="1" applyAlignment="1">
      <alignment horizontal="center" vertical="center" wrapText="1"/>
    </xf>
    <xf numFmtId="0" fontId="12" fillId="12" borderId="1" xfId="6" applyFont="1" applyFill="1" applyBorder="1" applyAlignment="1">
      <alignment horizontal="center" vertical="center" wrapText="1"/>
    </xf>
    <xf numFmtId="0" fontId="12" fillId="12" borderId="1" xfId="6" applyFont="1" applyFill="1" applyBorder="1" applyAlignment="1">
      <alignment horizontal="justify" vertical="center" wrapText="1"/>
    </xf>
    <xf numFmtId="0" fontId="15" fillId="12" borderId="9" xfId="6" applyFont="1" applyFill="1" applyBorder="1" applyAlignment="1">
      <alignment horizontal="center" vertical="center" wrapText="1"/>
    </xf>
    <xf numFmtId="186" fontId="23" fillId="12" borderId="0" xfId="6" applyNumberFormat="1" applyFont="1" applyFill="1" applyAlignment="1">
      <alignment horizontal="center" vertical="center"/>
    </xf>
    <xf numFmtId="0" fontId="17" fillId="16" borderId="11" xfId="6" applyFont="1" applyFill="1" applyBorder="1" applyAlignment="1">
      <alignment horizontal="center" vertical="center" wrapText="1"/>
    </xf>
    <xf numFmtId="43" fontId="15" fillId="16" borderId="12" xfId="6" applyNumberFormat="1" applyFont="1" applyFill="1" applyBorder="1" applyAlignment="1">
      <alignment horizontal="center" vertical="center" wrapText="1"/>
    </xf>
    <xf numFmtId="0" fontId="21" fillId="16" borderId="12" xfId="6" applyFont="1" applyFill="1" applyBorder="1" applyAlignment="1">
      <alignment horizontal="center" vertical="center" wrapText="1"/>
    </xf>
    <xf numFmtId="43" fontId="15" fillId="16" borderId="12" xfId="7" applyFont="1" applyFill="1" applyBorder="1" applyAlignment="1">
      <alignment horizontal="center" vertical="center" wrapText="1"/>
    </xf>
    <xf numFmtId="0" fontId="12" fillId="16" borderId="12" xfId="6" applyFont="1" applyFill="1" applyBorder="1" applyAlignment="1">
      <alignment horizontal="center" vertical="center" wrapText="1"/>
    </xf>
    <xf numFmtId="0" fontId="12" fillId="16" borderId="12" xfId="6" applyFont="1" applyFill="1" applyBorder="1" applyAlignment="1">
      <alignment horizontal="justify" vertical="center" wrapText="1"/>
    </xf>
    <xf numFmtId="0" fontId="15" fillId="16" borderId="13" xfId="6" applyFont="1" applyFill="1" applyBorder="1" applyAlignment="1">
      <alignment horizontal="center" vertical="center" wrapText="1"/>
    </xf>
    <xf numFmtId="43" fontId="19" fillId="12" borderId="5" xfId="6" applyNumberFormat="1" applyFont="1" applyFill="1" applyBorder="1" applyAlignment="1">
      <alignment horizontal="center" vertical="center" wrapText="1"/>
    </xf>
    <xf numFmtId="0" fontId="19" fillId="12" borderId="5" xfId="6" applyFont="1" applyFill="1" applyBorder="1" applyAlignment="1">
      <alignment horizontal="center" vertical="center" wrapText="1"/>
    </xf>
    <xf numFmtId="43" fontId="19" fillId="12" borderId="5" xfId="7" applyFont="1" applyFill="1" applyBorder="1" applyAlignment="1">
      <alignment horizontal="center" vertical="center" wrapText="1"/>
    </xf>
    <xf numFmtId="0" fontId="16" fillId="12" borderId="5" xfId="6" applyFont="1" applyFill="1" applyBorder="1" applyAlignment="1">
      <alignment horizontal="center" vertical="center" wrapText="1"/>
    </xf>
    <xf numFmtId="0" fontId="16" fillId="0" borderId="5" xfId="6" applyFont="1" applyBorder="1" applyAlignment="1">
      <alignment vertical="center" shrinkToFit="1"/>
    </xf>
    <xf numFmtId="0" fontId="19" fillId="12" borderId="6" xfId="6" applyFont="1" applyFill="1" applyBorder="1" applyAlignment="1">
      <alignment horizontal="center" vertical="center" wrapText="1"/>
    </xf>
    <xf numFmtId="181" fontId="19" fillId="12" borderId="1" xfId="6" applyNumberFormat="1" applyFont="1" applyFill="1" applyBorder="1" applyAlignment="1">
      <alignment horizontal="right" vertical="center" wrapText="1"/>
    </xf>
    <xf numFmtId="43" fontId="19" fillId="12" borderId="1" xfId="7" applyFont="1" applyFill="1" applyBorder="1" applyAlignment="1">
      <alignment horizontal="center" vertical="center" wrapText="1"/>
    </xf>
    <xf numFmtId="0" fontId="18" fillId="0" borderId="1" xfId="6" applyFont="1" applyBorder="1">
      <alignment vertical="center"/>
    </xf>
    <xf numFmtId="0" fontId="16" fillId="0" borderId="1" xfId="6" applyFont="1" applyBorder="1" applyAlignment="1">
      <alignment vertical="center" shrinkToFit="1"/>
    </xf>
    <xf numFmtId="0" fontId="16" fillId="0" borderId="1" xfId="6" applyFont="1" applyBorder="1" applyAlignment="1">
      <alignment horizontal="center" vertical="center"/>
    </xf>
    <xf numFmtId="4" fontId="10" fillId="0" borderId="0" xfId="6" applyNumberFormat="1" applyFont="1">
      <alignment vertical="center"/>
    </xf>
    <xf numFmtId="185" fontId="23" fillId="12" borderId="0" xfId="7" applyNumberFormat="1" applyFont="1" applyFill="1" applyAlignment="1">
      <alignment horizontal="center" vertical="center"/>
    </xf>
    <xf numFmtId="43" fontId="19" fillId="12" borderId="1" xfId="6" applyNumberFormat="1" applyFont="1" applyFill="1" applyBorder="1" applyAlignment="1">
      <alignment horizontal="center" vertical="center" wrapText="1"/>
    </xf>
    <xf numFmtId="185" fontId="10" fillId="12" borderId="0" xfId="6" applyNumberFormat="1" applyFont="1" applyFill="1">
      <alignment vertical="center"/>
    </xf>
    <xf numFmtId="43" fontId="10" fillId="12" borderId="0" xfId="6" applyNumberFormat="1" applyFont="1" applyFill="1">
      <alignment vertical="center"/>
    </xf>
    <xf numFmtId="43" fontId="10" fillId="0" borderId="0" xfId="6" applyNumberFormat="1" applyFont="1">
      <alignment vertical="center"/>
    </xf>
    <xf numFmtId="43" fontId="24" fillId="12" borderId="0" xfId="6" applyNumberFormat="1" applyFont="1" applyFill="1" applyAlignment="1">
      <alignment horizontal="center" vertical="center"/>
    </xf>
    <xf numFmtId="43" fontId="15" fillId="16" borderId="1" xfId="6" applyNumberFormat="1" applyFont="1" applyFill="1" applyBorder="1" applyAlignment="1">
      <alignment horizontal="center" vertical="center" wrapText="1"/>
    </xf>
    <xf numFmtId="43" fontId="15" fillId="16" borderId="1" xfId="7" applyFont="1" applyFill="1" applyBorder="1" applyAlignment="1">
      <alignment horizontal="center" vertical="center" wrapText="1"/>
    </xf>
    <xf numFmtId="0" fontId="12" fillId="16" borderId="1" xfId="6" applyFont="1" applyFill="1" applyBorder="1" applyAlignment="1">
      <alignment horizontal="center" vertical="center" wrapText="1"/>
    </xf>
    <xf numFmtId="0" fontId="12" fillId="16" borderId="1" xfId="6" applyFont="1" applyFill="1" applyBorder="1" applyAlignment="1">
      <alignment horizontal="justify" vertical="center" wrapText="1"/>
    </xf>
    <xf numFmtId="0" fontId="15" fillId="16" borderId="9" xfId="6" applyFont="1" applyFill="1" applyBorder="1" applyAlignment="1">
      <alignment horizontal="center" vertical="center" wrapText="1"/>
    </xf>
    <xf numFmtId="0" fontId="10" fillId="12" borderId="0" xfId="6" applyFont="1" applyFill="1" applyAlignment="1">
      <alignment vertical="center"/>
    </xf>
    <xf numFmtId="0" fontId="16" fillId="0" borderId="1" xfId="6" applyFont="1" applyBorder="1">
      <alignment vertical="center"/>
    </xf>
    <xf numFmtId="43" fontId="10" fillId="12" borderId="0" xfId="6" applyNumberFormat="1" applyFont="1" applyFill="1" applyAlignment="1">
      <alignment vertical="center"/>
    </xf>
    <xf numFmtId="43" fontId="21" fillId="16" borderId="12" xfId="6" applyNumberFormat="1" applyFont="1" applyFill="1" applyBorder="1" applyAlignment="1">
      <alignment horizontal="center" vertical="center" wrapText="1"/>
    </xf>
    <xf numFmtId="0" fontId="12" fillId="16" borderId="12" xfId="6" applyFont="1" applyFill="1" applyBorder="1" applyAlignment="1">
      <alignment vertical="center" wrapText="1"/>
    </xf>
    <xf numFmtId="0" fontId="25" fillId="18" borderId="18" xfId="6" applyFont="1" applyFill="1" applyBorder="1" applyAlignment="1">
      <alignment horizontal="center" vertical="center" wrapText="1"/>
    </xf>
    <xf numFmtId="0" fontId="25" fillId="18" borderId="19" xfId="6" applyFont="1" applyFill="1" applyBorder="1" applyAlignment="1">
      <alignment horizontal="center" vertical="center" wrapText="1"/>
    </xf>
    <xf numFmtId="43" fontId="25" fillId="18" borderId="19" xfId="7" applyFont="1" applyFill="1" applyBorder="1" applyAlignment="1">
      <alignment horizontal="center" vertical="center" wrapText="1"/>
    </xf>
    <xf numFmtId="0" fontId="10" fillId="12" borderId="0" xfId="6" applyFont="1" applyFill="1" applyAlignment="1">
      <alignment horizontal="right" vertical="center"/>
    </xf>
    <xf numFmtId="0" fontId="10" fillId="12" borderId="0" xfId="6" applyFont="1" applyFill="1" applyAlignment="1">
      <alignment horizontal="left" vertical="center"/>
    </xf>
    <xf numFmtId="187" fontId="6" fillId="4" borderId="0" xfId="1" applyNumberFormat="1" applyFont="1" applyFill="1" applyBorder="1" applyAlignment="1">
      <alignment horizontal="right" vertical="center"/>
    </xf>
    <xf numFmtId="183" fontId="6" fillId="0" borderId="0" xfId="1" applyNumberFormat="1" applyFont="1" applyBorder="1" applyAlignment="1">
      <alignment horizontal="right" vertical="center"/>
    </xf>
    <xf numFmtId="0" fontId="30" fillId="10" borderId="1" xfId="1" applyFont="1" applyFill="1" applyBorder="1" applyAlignment="1">
      <alignment horizontal="center" vertical="center"/>
    </xf>
    <xf numFmtId="3" fontId="30" fillId="10" borderId="1" xfId="1" applyNumberFormat="1" applyFont="1" applyFill="1" applyBorder="1" applyAlignment="1">
      <alignment horizontal="center" vertical="center"/>
    </xf>
    <xf numFmtId="188" fontId="16" fillId="9" borderId="1" xfId="1" applyNumberFormat="1" applyFont="1" applyFill="1" applyBorder="1" applyAlignment="1">
      <alignment horizontal="right" vertical="center"/>
    </xf>
    <xf numFmtId="0" fontId="16" fillId="9" borderId="1" xfId="1" applyFont="1" applyFill="1" applyBorder="1" applyAlignment="1">
      <alignment horizontal="right" vertical="center"/>
    </xf>
    <xf numFmtId="183" fontId="19" fillId="11" borderId="1" xfId="1" applyNumberFormat="1" applyFont="1" applyFill="1" applyBorder="1" applyAlignment="1">
      <alignment horizontal="right" vertical="center"/>
    </xf>
    <xf numFmtId="0" fontId="16" fillId="11" borderId="1" xfId="1" applyFont="1" applyFill="1" applyBorder="1" applyAlignment="1">
      <alignment horizontal="left" vertical="center"/>
    </xf>
    <xf numFmtId="183" fontId="19" fillId="3" borderId="1" xfId="1" applyNumberFormat="1" applyFont="1" applyFill="1" applyBorder="1" applyAlignment="1">
      <alignment horizontal="right" vertical="center"/>
    </xf>
    <xf numFmtId="0" fontId="16" fillId="3" borderId="1" xfId="1" applyFont="1" applyFill="1" applyBorder="1" applyAlignment="1">
      <alignment horizontal="left" vertical="center"/>
    </xf>
    <xf numFmtId="0" fontId="31" fillId="3" borderId="1" xfId="1" applyFont="1" applyFill="1" applyBorder="1" applyAlignment="1">
      <alignment horizontal="left" vertical="center"/>
    </xf>
    <xf numFmtId="182" fontId="17" fillId="11" borderId="1" xfId="1" applyNumberFormat="1" applyFont="1" applyFill="1" applyBorder="1" applyAlignment="1">
      <alignment horizontal="right" vertical="center" shrinkToFit="1"/>
    </xf>
    <xf numFmtId="182" fontId="17" fillId="3" borderId="1" xfId="1" applyNumberFormat="1" applyFont="1" applyFill="1" applyBorder="1" applyAlignment="1">
      <alignment horizontal="right" vertical="center" shrinkToFit="1"/>
    </xf>
    <xf numFmtId="183" fontId="15" fillId="5" borderId="1" xfId="1" applyNumberFormat="1" applyFont="1" applyFill="1" applyBorder="1" applyAlignment="1">
      <alignment horizontal="right" vertical="center"/>
    </xf>
    <xf numFmtId="182" fontId="21" fillId="5" borderId="1" xfId="1" applyNumberFormat="1" applyFont="1" applyFill="1" applyBorder="1" applyAlignment="1">
      <alignment horizontal="right" vertical="center" shrinkToFit="1"/>
    </xf>
    <xf numFmtId="182" fontId="16" fillId="11" borderId="1" xfId="1" applyNumberFormat="1" applyFont="1" applyFill="1" applyBorder="1" applyAlignment="1">
      <alignment vertical="center" shrinkToFit="1"/>
    </xf>
    <xf numFmtId="182" fontId="12" fillId="5" borderId="1" xfId="1" applyNumberFormat="1" applyFont="1" applyFill="1" applyBorder="1" applyAlignment="1">
      <alignment vertical="center" shrinkToFit="1"/>
    </xf>
    <xf numFmtId="182" fontId="21" fillId="5" borderId="1" xfId="1" applyNumberFormat="1" applyFont="1" applyFill="1" applyBorder="1" applyAlignment="1">
      <alignment vertical="center" shrinkToFit="1"/>
    </xf>
    <xf numFmtId="183" fontId="19" fillId="4" borderId="1" xfId="1" applyNumberFormat="1" applyFont="1" applyFill="1" applyBorder="1" applyAlignment="1">
      <alignment horizontal="right" vertical="center"/>
    </xf>
    <xf numFmtId="182" fontId="16" fillId="4" borderId="1" xfId="1" applyNumberFormat="1" applyFont="1" applyFill="1" applyBorder="1" applyAlignment="1">
      <alignment vertical="center" shrinkToFit="1"/>
    </xf>
    <xf numFmtId="183" fontId="32" fillId="5" borderId="1" xfId="1" applyNumberFormat="1" applyFont="1" applyFill="1" applyBorder="1" applyAlignment="1">
      <alignment horizontal="right" vertical="center"/>
    </xf>
    <xf numFmtId="182" fontId="12" fillId="5" borderId="1" xfId="1" applyNumberFormat="1" applyFont="1" applyFill="1" applyBorder="1" applyAlignment="1">
      <alignment horizontal="right" vertical="center" shrinkToFit="1"/>
    </xf>
    <xf numFmtId="183" fontId="32" fillId="0" borderId="1" xfId="1" applyNumberFormat="1" applyFont="1" applyBorder="1" applyAlignment="1">
      <alignment horizontal="right" vertical="center"/>
    </xf>
    <xf numFmtId="182" fontId="16" fillId="0" borderId="1" xfId="1" applyNumberFormat="1" applyFont="1" applyBorder="1" applyAlignment="1">
      <alignment horizontal="right" vertical="center" shrinkToFit="1"/>
    </xf>
    <xf numFmtId="0" fontId="33" fillId="10" borderId="1" xfId="1" applyFont="1" applyFill="1" applyBorder="1" applyAlignment="1">
      <alignment horizontal="center" vertical="center"/>
    </xf>
    <xf numFmtId="0" fontId="33" fillId="10" borderId="1" xfId="1" applyFont="1" applyFill="1" applyBorder="1" applyAlignment="1">
      <alignment vertical="center"/>
    </xf>
    <xf numFmtId="180" fontId="33" fillId="10" borderId="1" xfId="1" applyNumberFormat="1" applyFont="1" applyFill="1" applyBorder="1" applyAlignment="1">
      <alignment horizontal="center" vertical="center"/>
    </xf>
    <xf numFmtId="3" fontId="33" fillId="10" borderId="1" xfId="1" applyNumberFormat="1" applyFont="1" applyFill="1" applyBorder="1" applyAlignment="1">
      <alignment horizontal="center" vertical="center"/>
    </xf>
    <xf numFmtId="0" fontId="19" fillId="9" borderId="1" xfId="1" applyFont="1" applyFill="1" applyBorder="1" applyAlignment="1">
      <alignment horizontal="center" vertical="center"/>
    </xf>
    <xf numFmtId="0" fontId="19" fillId="9" borderId="1" xfId="1" applyFont="1" applyFill="1" applyBorder="1" applyAlignment="1">
      <alignment vertical="center"/>
    </xf>
    <xf numFmtId="180" fontId="19" fillId="9" borderId="1" xfId="1" applyNumberFormat="1" applyFont="1" applyFill="1" applyBorder="1" applyAlignment="1">
      <alignment horizontal="right" vertical="center"/>
    </xf>
    <xf numFmtId="188" fontId="19" fillId="9" borderId="1" xfId="1" applyNumberFormat="1" applyFont="1" applyFill="1" applyBorder="1" applyAlignment="1">
      <alignment horizontal="right" vertical="center"/>
    </xf>
    <xf numFmtId="0" fontId="19" fillId="11" borderId="1" xfId="1" applyFont="1" applyFill="1" applyBorder="1" applyAlignment="1">
      <alignment horizontal="center" vertical="center"/>
    </xf>
    <xf numFmtId="0" fontId="19" fillId="11" borderId="1" xfId="1" applyFont="1" applyFill="1" applyBorder="1" applyAlignment="1">
      <alignment vertical="center"/>
    </xf>
    <xf numFmtId="0" fontId="19" fillId="3" borderId="1" xfId="1" applyFont="1" applyFill="1" applyBorder="1" applyAlignment="1">
      <alignment horizontal="center" vertical="center"/>
    </xf>
    <xf numFmtId="0" fontId="19" fillId="3" borderId="1" xfId="1" applyFont="1" applyFill="1" applyBorder="1" applyAlignment="1">
      <alignment vertical="center"/>
    </xf>
    <xf numFmtId="0" fontId="36" fillId="3" borderId="1" xfId="1" applyFont="1" applyFill="1" applyBorder="1" applyAlignment="1">
      <alignment vertical="center"/>
    </xf>
    <xf numFmtId="183" fontId="36" fillId="3" borderId="1" xfId="1" applyNumberFormat="1" applyFont="1" applyFill="1" applyBorder="1" applyAlignment="1">
      <alignment horizontal="right" vertical="center"/>
    </xf>
    <xf numFmtId="0" fontId="19" fillId="0" borderId="1" xfId="3" applyFont="1" applyBorder="1" applyAlignment="1">
      <alignment vertical="center"/>
    </xf>
    <xf numFmtId="1" fontId="19" fillId="11" borderId="1" xfId="1" applyNumberFormat="1" applyFont="1" applyFill="1" applyBorder="1" applyAlignment="1">
      <alignment vertical="center"/>
    </xf>
    <xf numFmtId="180" fontId="19" fillId="3" borderId="1" xfId="1" applyNumberFormat="1" applyFont="1" applyFill="1" applyBorder="1" applyAlignment="1">
      <alignment horizontal="right" vertical="center"/>
    </xf>
    <xf numFmtId="0" fontId="15" fillId="5" borderId="1" xfId="1" applyFont="1" applyFill="1" applyBorder="1" applyAlignment="1">
      <alignment horizontal="center" vertical="center"/>
    </xf>
    <xf numFmtId="1" fontId="15" fillId="5" borderId="1" xfId="1" applyNumberFormat="1" applyFont="1" applyFill="1" applyBorder="1" applyAlignment="1">
      <alignment vertical="center"/>
    </xf>
    <xf numFmtId="0" fontId="19" fillId="11" borderId="1" xfId="1" quotePrefix="1" applyFont="1" applyFill="1" applyBorder="1" applyAlignment="1">
      <alignment horizontal="center" vertical="center"/>
    </xf>
    <xf numFmtId="0" fontId="15" fillId="5" borderId="1" xfId="1" quotePrefix="1" applyFont="1" applyFill="1" applyBorder="1" applyAlignment="1">
      <alignment horizontal="center" vertical="center"/>
    </xf>
    <xf numFmtId="0" fontId="19" fillId="4" borderId="1" xfId="1" applyFont="1" applyFill="1" applyBorder="1" applyAlignment="1">
      <alignment horizontal="center" vertical="center"/>
    </xf>
    <xf numFmtId="0" fontId="19" fillId="4" borderId="1" xfId="1" applyFont="1" applyFill="1" applyBorder="1" applyAlignment="1">
      <alignment vertical="center"/>
    </xf>
    <xf numFmtId="0" fontId="15" fillId="5" borderId="1" xfId="1" applyFont="1" applyFill="1" applyBorder="1" applyAlignment="1">
      <alignment horizontal="centerContinuous" vertical="center"/>
    </xf>
    <xf numFmtId="0" fontId="19" fillId="0" borderId="1" xfId="1" applyFont="1" applyBorder="1" applyAlignment="1">
      <alignment horizontal="center"/>
    </xf>
    <xf numFmtId="0" fontId="19" fillId="0" borderId="1" xfId="1" applyFont="1" applyBorder="1" applyAlignment="1">
      <alignment horizontal="center" vertical="center"/>
    </xf>
    <xf numFmtId="183" fontId="19" fillId="0" borderId="1" xfId="1" applyNumberFormat="1" applyFont="1" applyBorder="1" applyAlignment="1">
      <alignment horizontal="right" vertical="center"/>
    </xf>
    <xf numFmtId="0" fontId="8" fillId="0" borderId="0" xfId="1" applyFont="1" applyBorder="1" applyAlignment="1">
      <alignment horizontal="center" vertical="center"/>
    </xf>
    <xf numFmtId="180" fontId="8" fillId="0" borderId="0" xfId="1" applyNumberFormat="1" applyFont="1" applyBorder="1" applyAlignment="1">
      <alignment horizontal="center" vertical="center"/>
    </xf>
    <xf numFmtId="4" fontId="8" fillId="0" borderId="0" xfId="1" applyNumberFormat="1" applyFont="1" applyBorder="1" applyAlignment="1">
      <alignment horizontal="right" vertical="center"/>
    </xf>
    <xf numFmtId="0" fontId="38" fillId="13" borderId="2" xfId="6" applyFont="1" applyFill="1" applyBorder="1" applyAlignment="1">
      <alignment vertical="center" wrapText="1"/>
    </xf>
    <xf numFmtId="0" fontId="38" fillId="13" borderId="4" xfId="6" applyFont="1" applyFill="1" applyBorder="1" applyAlignment="1">
      <alignment vertical="center" wrapText="1"/>
    </xf>
    <xf numFmtId="0" fontId="38" fillId="13" borderId="5" xfId="6" applyFont="1" applyFill="1" applyBorder="1" applyAlignment="1">
      <alignment horizontal="justify" vertical="center" wrapText="1"/>
    </xf>
    <xf numFmtId="0" fontId="38" fillId="13" borderId="6" xfId="6" applyFont="1" applyFill="1" applyBorder="1" applyAlignment="1">
      <alignment horizontal="center" vertical="center" wrapText="1"/>
    </xf>
    <xf numFmtId="0" fontId="10" fillId="12" borderId="8" xfId="6" applyFont="1" applyFill="1" applyBorder="1" applyAlignment="1">
      <alignment horizontal="center" vertical="center" wrapText="1"/>
    </xf>
    <xf numFmtId="43" fontId="38" fillId="12" borderId="1" xfId="6" applyNumberFormat="1" applyFont="1" applyFill="1" applyBorder="1" applyAlignment="1">
      <alignment horizontal="center" vertical="center" wrapText="1"/>
    </xf>
    <xf numFmtId="0" fontId="10" fillId="12" borderId="1" xfId="6" applyFont="1" applyFill="1" applyBorder="1" applyAlignment="1">
      <alignment horizontal="center" vertical="center" wrapText="1"/>
    </xf>
    <xf numFmtId="43" fontId="10" fillId="12" borderId="1" xfId="7" applyFont="1" applyFill="1" applyBorder="1" applyAlignment="1">
      <alignment horizontal="center" vertical="center" wrapText="1"/>
    </xf>
    <xf numFmtId="0" fontId="10" fillId="12" borderId="1" xfId="6" applyFont="1" applyFill="1" applyBorder="1" applyAlignment="1">
      <alignment horizontal="justify" vertical="center" wrapText="1"/>
    </xf>
    <xf numFmtId="0" fontId="10" fillId="12" borderId="9" xfId="6" applyFont="1" applyFill="1" applyBorder="1" applyAlignment="1">
      <alignment horizontal="center" vertical="center" wrapText="1"/>
    </xf>
    <xf numFmtId="43" fontId="38" fillId="12" borderId="1" xfId="7" applyFont="1" applyFill="1" applyBorder="1" applyAlignment="1">
      <alignment horizontal="center" vertical="center" wrapText="1"/>
    </xf>
    <xf numFmtId="0" fontId="38" fillId="12" borderId="1" xfId="6" applyFont="1" applyFill="1" applyBorder="1" applyAlignment="1">
      <alignment horizontal="center" vertical="center" wrapText="1"/>
    </xf>
    <xf numFmtId="0" fontId="38" fillId="12" borderId="1" xfId="6" applyFont="1" applyFill="1" applyBorder="1" applyAlignment="1">
      <alignment horizontal="justify" vertical="center" wrapText="1"/>
    </xf>
    <xf numFmtId="43" fontId="38" fillId="16" borderId="12" xfId="6" applyNumberFormat="1" applyFont="1" applyFill="1" applyBorder="1" applyAlignment="1">
      <alignment horizontal="center" vertical="center" wrapText="1"/>
    </xf>
    <xf numFmtId="0" fontId="38" fillId="16" borderId="12" xfId="6" applyFont="1" applyFill="1" applyBorder="1" applyAlignment="1">
      <alignment horizontal="center" vertical="center" wrapText="1"/>
    </xf>
    <xf numFmtId="43" fontId="38" fillId="16" borderId="12" xfId="7" applyFont="1" applyFill="1" applyBorder="1" applyAlignment="1">
      <alignment horizontal="center" vertical="center" wrapText="1"/>
    </xf>
    <xf numFmtId="0" fontId="38" fillId="16" borderId="12" xfId="6" applyFont="1" applyFill="1" applyBorder="1" applyAlignment="1">
      <alignment horizontal="justify" vertical="center" wrapText="1"/>
    </xf>
    <xf numFmtId="0" fontId="38" fillId="16" borderId="13" xfId="6" applyFont="1" applyFill="1" applyBorder="1" applyAlignment="1">
      <alignment horizontal="center" vertical="center" wrapText="1"/>
    </xf>
    <xf numFmtId="0" fontId="10" fillId="12" borderId="6" xfId="6" applyFont="1" applyFill="1" applyBorder="1" applyAlignment="1">
      <alignment horizontal="center" vertical="center" wrapText="1"/>
    </xf>
    <xf numFmtId="181" fontId="10" fillId="12" borderId="1" xfId="6" applyNumberFormat="1" applyFont="1" applyFill="1" applyBorder="1" applyAlignment="1">
      <alignment horizontal="right" vertical="center" wrapText="1"/>
    </xf>
    <xf numFmtId="0" fontId="10" fillId="0" borderId="1" xfId="6" applyFont="1" applyBorder="1" applyAlignment="1">
      <alignment vertical="center" shrinkToFit="1"/>
    </xf>
    <xf numFmtId="0" fontId="10" fillId="0" borderId="1" xfId="6" applyFont="1" applyBorder="1" applyAlignment="1">
      <alignment horizontal="center" vertical="center"/>
    </xf>
    <xf numFmtId="43" fontId="10" fillId="12" borderId="1" xfId="6" applyNumberFormat="1" applyFont="1" applyFill="1" applyBorder="1" applyAlignment="1">
      <alignment horizontal="center" vertical="center" wrapText="1"/>
    </xf>
    <xf numFmtId="43" fontId="38" fillId="16" borderId="1" xfId="6" applyNumberFormat="1" applyFont="1" applyFill="1" applyBorder="1" applyAlignment="1">
      <alignment horizontal="center" vertical="center" wrapText="1"/>
    </xf>
    <xf numFmtId="43" fontId="38" fillId="16" borderId="1" xfId="7" applyFont="1" applyFill="1" applyBorder="1" applyAlignment="1">
      <alignment horizontal="center" vertical="center" wrapText="1"/>
    </xf>
    <xf numFmtId="0" fontId="38" fillId="16" borderId="1" xfId="6" applyFont="1" applyFill="1" applyBorder="1" applyAlignment="1">
      <alignment horizontal="center" vertical="center" wrapText="1"/>
    </xf>
    <xf numFmtId="0" fontId="38" fillId="16" borderId="1" xfId="6" applyFont="1" applyFill="1" applyBorder="1" applyAlignment="1">
      <alignment horizontal="justify" vertical="center" wrapText="1"/>
    </xf>
    <xf numFmtId="0" fontId="38" fillId="16" borderId="9" xfId="6" applyFont="1" applyFill="1" applyBorder="1" applyAlignment="1">
      <alignment horizontal="center" vertical="center" wrapText="1"/>
    </xf>
    <xf numFmtId="0" fontId="10" fillId="0" borderId="1" xfId="6" applyFont="1" applyBorder="1">
      <alignment vertical="center"/>
    </xf>
    <xf numFmtId="0" fontId="38" fillId="16" borderId="12" xfId="6" applyFont="1" applyFill="1" applyBorder="1" applyAlignment="1">
      <alignment vertical="center" wrapText="1"/>
    </xf>
    <xf numFmtId="0" fontId="39" fillId="18" borderId="21" xfId="6" applyFont="1" applyFill="1" applyBorder="1" applyAlignment="1">
      <alignment horizontal="center" vertical="center" wrapText="1"/>
    </xf>
    <xf numFmtId="0" fontId="39" fillId="18" borderId="19" xfId="6" applyFont="1" applyFill="1" applyBorder="1" applyAlignment="1">
      <alignment horizontal="center" vertical="center" wrapText="1"/>
    </xf>
    <xf numFmtId="43" fontId="39" fillId="18" borderId="19" xfId="7" applyFont="1" applyFill="1" applyBorder="1" applyAlignment="1">
      <alignment horizontal="center" vertical="center" wrapText="1"/>
    </xf>
    <xf numFmtId="0" fontId="40" fillId="0" borderId="1" xfId="0" applyFont="1" applyBorder="1"/>
    <xf numFmtId="0" fontId="40" fillId="0" borderId="1" xfId="0" applyFont="1" applyBorder="1" applyAlignment="1">
      <alignment horizontal="center"/>
    </xf>
    <xf numFmtId="0" fontId="41" fillId="0" borderId="9" xfId="0" applyFont="1" applyBorder="1" applyAlignment="1">
      <alignment horizontal="center" vertical="center"/>
    </xf>
    <xf numFmtId="0" fontId="41" fillId="0" borderId="1" xfId="10" applyFont="1" applyFill="1" applyBorder="1">
      <alignment vertical="center"/>
    </xf>
    <xf numFmtId="0" fontId="44" fillId="0" borderId="9" xfId="0" applyFont="1" applyBorder="1" applyAlignment="1">
      <alignment horizontal="center" vertical="center"/>
    </xf>
    <xf numFmtId="0" fontId="44" fillId="0" borderId="1" xfId="10" applyFont="1" applyFill="1" applyBorder="1">
      <alignment vertical="center"/>
    </xf>
    <xf numFmtId="0" fontId="45" fillId="0" borderId="1" xfId="10" applyFont="1" applyFill="1" applyBorder="1">
      <alignment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43" fontId="8" fillId="0" borderId="0" xfId="8" applyFont="1" applyAlignment="1"/>
    <xf numFmtId="10" fontId="8" fillId="0" borderId="0" xfId="9" applyNumberFormat="1" applyFont="1" applyAlignment="1"/>
    <xf numFmtId="10" fontId="8" fillId="0" borderId="0" xfId="0" applyNumberFormat="1" applyFont="1"/>
    <xf numFmtId="0" fontId="36" fillId="0" borderId="0" xfId="10" applyFont="1">
      <alignment vertical="center"/>
    </xf>
    <xf numFmtId="184" fontId="36" fillId="0" borderId="0" xfId="10" applyNumberFormat="1" applyFont="1">
      <alignment vertical="center"/>
    </xf>
    <xf numFmtId="178" fontId="36" fillId="0" borderId="0" xfId="10" applyNumberFormat="1" applyFont="1">
      <alignment vertical="center"/>
    </xf>
    <xf numFmtId="186" fontId="36" fillId="0" borderId="0" xfId="10" applyNumberFormat="1" applyFont="1">
      <alignment vertical="center"/>
    </xf>
    <xf numFmtId="187" fontId="36" fillId="19" borderId="22" xfId="10" applyNumberFormat="1" applyFont="1" applyFill="1" applyBorder="1" applyAlignment="1">
      <alignment horizontal="right" vertical="center"/>
    </xf>
    <xf numFmtId="0" fontId="36" fillId="17" borderId="0" xfId="10" applyFont="1" applyFill="1">
      <alignment vertical="center"/>
    </xf>
    <xf numFmtId="189" fontId="36" fillId="17" borderId="0" xfId="10" applyNumberFormat="1" applyFont="1" applyFill="1">
      <alignment vertical="center"/>
    </xf>
    <xf numFmtId="181" fontId="36" fillId="17" borderId="0" xfId="10" applyNumberFormat="1" applyFont="1" applyFill="1">
      <alignment vertical="center"/>
    </xf>
    <xf numFmtId="0" fontId="50" fillId="12" borderId="6" xfId="6" applyFont="1" applyFill="1" applyBorder="1" applyAlignment="1">
      <alignment horizontal="center" vertical="center" wrapText="1"/>
    </xf>
    <xf numFmtId="0" fontId="50" fillId="12" borderId="5" xfId="6" applyFont="1" applyFill="1" applyBorder="1" applyAlignment="1">
      <alignment horizontal="justify" vertical="center" wrapText="1"/>
    </xf>
    <xf numFmtId="0" fontId="50" fillId="12" borderId="5" xfId="6" applyFont="1" applyFill="1" applyBorder="1" applyAlignment="1">
      <alignment horizontal="center" vertical="center" wrapText="1"/>
    </xf>
    <xf numFmtId="43" fontId="50" fillId="12" borderId="5" xfId="7" applyFont="1" applyFill="1" applyBorder="1" applyAlignment="1">
      <alignment horizontal="center" vertical="center" wrapText="1"/>
    </xf>
    <xf numFmtId="43" fontId="50" fillId="12" borderId="5" xfId="6" applyNumberFormat="1" applyFont="1" applyFill="1" applyBorder="1" applyAlignment="1">
      <alignment horizontal="center" vertical="center" wrapText="1"/>
    </xf>
    <xf numFmtId="0" fontId="52" fillId="12" borderId="9" xfId="6" applyFont="1" applyFill="1" applyBorder="1" applyAlignment="1">
      <alignment horizontal="center" vertical="center" wrapText="1"/>
    </xf>
    <xf numFmtId="0" fontId="50" fillId="0" borderId="5" xfId="6" applyFont="1" applyBorder="1" applyAlignment="1">
      <alignment vertical="center" shrinkToFit="1"/>
    </xf>
    <xf numFmtId="187" fontId="36" fillId="19" borderId="0" xfId="1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7" fillId="12" borderId="0" xfId="6" applyFont="1" applyFill="1" applyAlignment="1">
      <alignment horizontal="center" vertical="center"/>
    </xf>
    <xf numFmtId="0" fontId="21" fillId="12" borderId="1" xfId="6" applyFont="1" applyFill="1" applyBorder="1" applyAlignment="1">
      <alignment horizontal="center" vertical="center" wrapText="1"/>
    </xf>
    <xf numFmtId="0" fontId="21" fillId="12" borderId="8" xfId="6" applyFont="1" applyFill="1" applyBorder="1" applyAlignment="1">
      <alignment horizontal="center" vertical="center" wrapText="1"/>
    </xf>
    <xf numFmtId="0" fontId="25" fillId="18" borderId="20" xfId="6" applyFont="1" applyFill="1" applyBorder="1" applyAlignment="1">
      <alignment horizontal="center" vertical="center" wrapText="1"/>
    </xf>
    <xf numFmtId="0" fontId="25" fillId="18" borderId="19" xfId="6" applyFont="1" applyFill="1" applyBorder="1" applyAlignment="1">
      <alignment horizontal="center" vertical="center" wrapText="1"/>
    </xf>
    <xf numFmtId="0" fontId="12" fillId="14" borderId="14" xfId="6" applyFont="1" applyFill="1" applyBorder="1" applyAlignment="1">
      <alignment horizontal="center" vertical="center" textRotation="255"/>
    </xf>
    <xf numFmtId="0" fontId="12" fillId="14" borderId="10" xfId="6" applyFont="1" applyFill="1" applyBorder="1" applyAlignment="1">
      <alignment horizontal="center" vertical="center" textRotation="255"/>
    </xf>
    <xf numFmtId="0" fontId="12" fillId="14" borderId="7" xfId="6" applyFont="1" applyFill="1" applyBorder="1" applyAlignment="1">
      <alignment horizontal="center" vertical="center" textRotation="255"/>
    </xf>
    <xf numFmtId="0" fontId="16" fillId="14" borderId="14" xfId="6" applyFont="1" applyFill="1" applyBorder="1" applyAlignment="1">
      <alignment horizontal="center" vertical="center"/>
    </xf>
    <xf numFmtId="0" fontId="16" fillId="14" borderId="10" xfId="6" applyFont="1" applyFill="1" applyBorder="1" applyAlignment="1">
      <alignment horizontal="center" vertical="center"/>
    </xf>
    <xf numFmtId="0" fontId="16" fillId="14" borderId="7" xfId="6" applyFont="1" applyFill="1" applyBorder="1" applyAlignment="1">
      <alignment horizontal="center" vertical="center"/>
    </xf>
    <xf numFmtId="0" fontId="12" fillId="17" borderId="16" xfId="6" applyFont="1" applyFill="1" applyBorder="1" applyAlignment="1">
      <alignment horizontal="center" vertical="center" wrapText="1"/>
    </xf>
    <xf numFmtId="0" fontId="12" fillId="17" borderId="15" xfId="6" applyFont="1" applyFill="1" applyBorder="1" applyAlignment="1">
      <alignment horizontal="center" vertical="center" wrapText="1"/>
    </xf>
    <xf numFmtId="0" fontId="12" fillId="17" borderId="1" xfId="6" applyFont="1" applyFill="1" applyBorder="1" applyAlignment="1">
      <alignment horizontal="center" vertical="center" wrapText="1"/>
    </xf>
    <xf numFmtId="184" fontId="14" fillId="13" borderId="3" xfId="6" applyNumberFormat="1" applyFont="1" applyFill="1" applyBorder="1" applyAlignment="1">
      <alignment horizontal="center" vertical="center" wrapText="1"/>
    </xf>
    <xf numFmtId="0" fontId="12" fillId="13" borderId="4" xfId="6" applyFont="1" applyFill="1" applyBorder="1" applyAlignment="1">
      <alignment horizontal="center" vertical="center" wrapText="1"/>
    </xf>
    <xf numFmtId="0" fontId="12" fillId="13" borderId="3" xfId="6" applyFont="1" applyFill="1" applyBorder="1" applyAlignment="1">
      <alignment horizontal="center" vertical="center" wrapText="1"/>
    </xf>
    <xf numFmtId="0" fontId="12" fillId="14" borderId="17" xfId="6" applyFont="1" applyFill="1" applyBorder="1" applyAlignment="1">
      <alignment horizontal="center" vertical="center" textRotation="255"/>
    </xf>
    <xf numFmtId="0" fontId="0" fillId="0" borderId="0" xfId="0" applyAlignment="1">
      <alignment vertical="center"/>
    </xf>
    <xf numFmtId="0" fontId="38" fillId="12" borderId="1" xfId="6" applyFont="1" applyFill="1" applyBorder="1" applyAlignment="1">
      <alignment horizontal="center" vertical="center" wrapText="1"/>
    </xf>
    <xf numFmtId="0" fontId="38" fillId="12" borderId="8" xfId="6" applyFont="1" applyFill="1" applyBorder="1" applyAlignment="1">
      <alignment horizontal="center" vertical="center" wrapText="1"/>
    </xf>
    <xf numFmtId="184" fontId="38" fillId="13" borderId="3" xfId="6" applyNumberFormat="1" applyFont="1" applyFill="1" applyBorder="1" applyAlignment="1">
      <alignment horizontal="center" vertical="center" wrapText="1"/>
    </xf>
    <xf numFmtId="0" fontId="39" fillId="18" borderId="20" xfId="6" applyFont="1" applyFill="1" applyBorder="1" applyAlignment="1">
      <alignment horizontal="center" vertical="center" wrapText="1"/>
    </xf>
    <xf numFmtId="0" fontId="39" fillId="18" borderId="19" xfId="6" applyFont="1" applyFill="1" applyBorder="1" applyAlignment="1">
      <alignment horizontal="center" vertical="center" wrapText="1"/>
    </xf>
    <xf numFmtId="0" fontId="38" fillId="14" borderId="10" xfId="6" applyFont="1" applyFill="1" applyBorder="1" applyAlignment="1">
      <alignment horizontal="center" vertical="center" textRotation="255"/>
    </xf>
    <xf numFmtId="0" fontId="38" fillId="14" borderId="7" xfId="6" applyFont="1" applyFill="1" applyBorder="1" applyAlignment="1">
      <alignment horizontal="center" vertical="center" textRotation="255"/>
    </xf>
    <xf numFmtId="0" fontId="38" fillId="14" borderId="14" xfId="6" applyFont="1" applyFill="1" applyBorder="1" applyAlignment="1">
      <alignment horizontal="center" vertical="center" textRotation="255"/>
    </xf>
    <xf numFmtId="0" fontId="10" fillId="14" borderId="10" xfId="6" applyFont="1" applyFill="1" applyBorder="1" applyAlignment="1">
      <alignment horizontal="center" vertical="center"/>
    </xf>
    <xf numFmtId="0" fontId="10" fillId="14" borderId="7" xfId="6" applyFont="1" applyFill="1" applyBorder="1" applyAlignment="1">
      <alignment horizontal="center" vertical="center"/>
    </xf>
    <xf numFmtId="0" fontId="38" fillId="17" borderId="16" xfId="6" applyFont="1" applyFill="1" applyBorder="1" applyAlignment="1">
      <alignment horizontal="center" vertical="center" wrapText="1"/>
    </xf>
    <xf numFmtId="0" fontId="38" fillId="17" borderId="15" xfId="6" applyFont="1" applyFill="1" applyBorder="1" applyAlignment="1">
      <alignment horizontal="center" vertical="center" wrapText="1"/>
    </xf>
    <xf numFmtId="0" fontId="38" fillId="17" borderId="18" xfId="6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48" fillId="0" borderId="1" xfId="10" applyFont="1" applyFill="1" applyBorder="1" applyAlignment="1">
      <alignment horizontal="left" vertical="center"/>
    </xf>
    <xf numFmtId="0" fontId="57" fillId="0" borderId="1" xfId="10" applyFont="1" applyFill="1" applyBorder="1">
      <alignment vertical="center"/>
    </xf>
    <xf numFmtId="0" fontId="57" fillId="0" borderId="1" xfId="10" applyFont="1" applyFill="1" applyBorder="1" applyAlignment="1">
      <alignment horizontal="center" vertical="center"/>
    </xf>
    <xf numFmtId="181" fontId="58" fillId="0" borderId="1" xfId="10" applyNumberFormat="1" applyFont="1" applyFill="1" applyBorder="1" applyAlignment="1">
      <alignment horizontal="center" vertical="center"/>
    </xf>
    <xf numFmtId="0" fontId="57" fillId="0" borderId="1" xfId="10" applyFont="1" applyFill="1" applyBorder="1" applyAlignment="1">
      <alignment vertical="center" wrapText="1"/>
    </xf>
    <xf numFmtId="0" fontId="60" fillId="0" borderId="1" xfId="10" applyFont="1" applyFill="1" applyBorder="1">
      <alignment vertical="center"/>
    </xf>
    <xf numFmtId="0" fontId="46" fillId="0" borderId="1" xfId="10" applyFont="1" applyFill="1" applyBorder="1" applyAlignment="1">
      <alignment vertical="top"/>
    </xf>
    <xf numFmtId="0" fontId="44" fillId="0" borderId="1" xfId="10" applyFont="1" applyFill="1" applyBorder="1" applyAlignment="1">
      <alignment horizontal="center" vertical="center"/>
    </xf>
    <xf numFmtId="181" fontId="44" fillId="0" borderId="1" xfId="10" applyNumberFormat="1" applyFont="1" applyFill="1" applyBorder="1">
      <alignment vertical="center"/>
    </xf>
    <xf numFmtId="181" fontId="44" fillId="0" borderId="1" xfId="10" applyNumberFormat="1" applyFont="1" applyFill="1" applyBorder="1" applyAlignment="1">
      <alignment horizontal="right" vertical="center"/>
    </xf>
    <xf numFmtId="181" fontId="44" fillId="0" borderId="1" xfId="10" applyNumberFormat="1" applyFont="1" applyFill="1" applyBorder="1" applyAlignment="1">
      <alignment horizontal="center" vertical="center"/>
    </xf>
    <xf numFmtId="9" fontId="45" fillId="0" borderId="1" xfId="10" applyNumberFormat="1" applyFont="1" applyFill="1" applyBorder="1">
      <alignment vertical="center"/>
    </xf>
    <xf numFmtId="0" fontId="46" fillId="0" borderId="1" xfId="10" applyFont="1" applyFill="1" applyBorder="1" applyAlignment="1">
      <alignment horizontal="center" vertical="center"/>
    </xf>
    <xf numFmtId="181" fontId="46" fillId="0" borderId="1" xfId="10" applyNumberFormat="1" applyFont="1" applyFill="1" applyBorder="1" applyAlignment="1">
      <alignment horizontal="right" vertical="center"/>
    </xf>
    <xf numFmtId="0" fontId="53" fillId="0" borderId="1" xfId="10" applyFont="1" applyFill="1" applyBorder="1">
      <alignment vertical="center"/>
    </xf>
    <xf numFmtId="0" fontId="53" fillId="0" borderId="1" xfId="10" applyFont="1" applyFill="1" applyBorder="1" applyAlignment="1">
      <alignment horizontal="center" vertical="center"/>
    </xf>
    <xf numFmtId="0" fontId="53" fillId="0" borderId="1" xfId="10" applyFont="1" applyFill="1" applyBorder="1" applyAlignment="1">
      <alignment horizontal="right" vertical="center"/>
    </xf>
    <xf numFmtId="190" fontId="53" fillId="0" borderId="1" xfId="10" applyNumberFormat="1" applyFont="1" applyFill="1" applyBorder="1" applyAlignment="1">
      <alignment horizontal="right" vertical="center"/>
    </xf>
    <xf numFmtId="0" fontId="46" fillId="0" borderId="1" xfId="10" applyFont="1" applyFill="1" applyBorder="1" applyAlignment="1">
      <alignment horizontal="right" vertical="center"/>
    </xf>
    <xf numFmtId="0" fontId="46" fillId="0" borderId="1" xfId="10" applyFont="1" applyFill="1" applyBorder="1">
      <alignment vertical="center"/>
    </xf>
    <xf numFmtId="0" fontId="59" fillId="20" borderId="1" xfId="10" applyFont="1" applyFill="1" applyBorder="1" applyAlignment="1">
      <alignment vertical="top"/>
    </xf>
    <xf numFmtId="0" fontId="60" fillId="20" borderId="1" xfId="10" applyFont="1" applyFill="1" applyBorder="1">
      <alignment vertical="center"/>
    </xf>
    <xf numFmtId="0" fontId="44" fillId="20" borderId="1" xfId="10" applyFont="1" applyFill="1" applyBorder="1" applyAlignment="1">
      <alignment horizontal="center" vertical="center"/>
    </xf>
    <xf numFmtId="181" fontId="44" fillId="20" borderId="1" xfId="10" applyNumberFormat="1" applyFont="1" applyFill="1" applyBorder="1" applyAlignment="1">
      <alignment horizontal="right" vertical="center"/>
    </xf>
    <xf numFmtId="181" fontId="44" fillId="20" borderId="1" xfId="10" applyNumberFormat="1" applyFont="1" applyFill="1" applyBorder="1" applyAlignment="1">
      <alignment horizontal="center" vertical="center"/>
    </xf>
    <xf numFmtId="0" fontId="44" fillId="20" borderId="1" xfId="10" applyFont="1" applyFill="1" applyBorder="1">
      <alignment vertical="center"/>
    </xf>
    <xf numFmtId="0" fontId="46" fillId="20" borderId="1" xfId="10" applyFont="1" applyFill="1" applyBorder="1" applyAlignment="1">
      <alignment vertical="top"/>
    </xf>
    <xf numFmtId="0" fontId="58" fillId="0" borderId="1" xfId="10" applyFont="1" applyFill="1" applyBorder="1">
      <alignment vertical="center"/>
    </xf>
    <xf numFmtId="0" fontId="61" fillId="0" borderId="1" xfId="10" applyFont="1" applyFill="1" applyBorder="1" applyAlignment="1">
      <alignment horizontal="center" vertical="center"/>
    </xf>
    <xf numFmtId="0" fontId="61" fillId="0" borderId="1" xfId="3" applyFont="1" applyFill="1" applyBorder="1" applyAlignment="1">
      <alignment vertical="center" wrapText="1"/>
    </xf>
    <xf numFmtId="0" fontId="58" fillId="0" borderId="1" xfId="10" applyFont="1" applyFill="1" applyBorder="1" applyAlignment="1">
      <alignment horizontal="center" vertical="top"/>
    </xf>
    <xf numFmtId="0" fontId="53" fillId="20" borderId="1" xfId="10" applyFont="1" applyFill="1" applyBorder="1">
      <alignment vertical="center"/>
    </xf>
    <xf numFmtId="0" fontId="53" fillId="20" borderId="1" xfId="10" applyFont="1" applyFill="1" applyBorder="1" applyAlignment="1">
      <alignment horizontal="center" vertical="center"/>
    </xf>
    <xf numFmtId="0" fontId="53" fillId="20" borderId="1" xfId="10" applyFont="1" applyFill="1" applyBorder="1" applyAlignment="1">
      <alignment horizontal="right" vertical="center"/>
    </xf>
    <xf numFmtId="187" fontId="60" fillId="20" borderId="1" xfId="10" applyNumberFormat="1" applyFont="1" applyFill="1" applyBorder="1" applyAlignment="1">
      <alignment vertical="center" wrapText="1"/>
    </xf>
    <xf numFmtId="0" fontId="58" fillId="0" borderId="1" xfId="10" quotePrefix="1" applyFont="1" applyFill="1" applyBorder="1" applyAlignment="1">
      <alignment horizontal="center" vertical="center"/>
    </xf>
    <xf numFmtId="0" fontId="61" fillId="0" borderId="1" xfId="10" quotePrefix="1" applyFont="1" applyFill="1" applyBorder="1" applyAlignment="1">
      <alignment horizontal="center" vertical="center"/>
    </xf>
    <xf numFmtId="0" fontId="64" fillId="0" borderId="1" xfId="10" applyFont="1" applyFill="1" applyBorder="1" applyAlignment="1">
      <alignment horizontal="center" vertical="center"/>
    </xf>
    <xf numFmtId="0" fontId="64" fillId="0" borderId="1" xfId="10" applyFont="1" applyFill="1" applyBorder="1">
      <alignment vertical="center"/>
    </xf>
    <xf numFmtId="0" fontId="58" fillId="0" borderId="1" xfId="10" applyFont="1" applyFill="1" applyBorder="1" applyAlignment="1">
      <alignment horizontal="center" vertical="center"/>
    </xf>
    <xf numFmtId="0" fontId="61" fillId="0" borderId="1" xfId="10" applyFont="1" applyFill="1" applyBorder="1" applyAlignment="1">
      <alignment vertical="top" wrapText="1"/>
    </xf>
    <xf numFmtId="190" fontId="65" fillId="20" borderId="1" xfId="10" applyNumberFormat="1" applyFont="1" applyFill="1" applyBorder="1" applyAlignment="1">
      <alignment horizontal="right" vertical="center"/>
    </xf>
    <xf numFmtId="0" fontId="66" fillId="0" borderId="1" xfId="10" applyFont="1" applyFill="1" applyBorder="1" applyAlignment="1">
      <alignment horizontal="center" vertical="center"/>
    </xf>
    <xf numFmtId="0" fontId="54" fillId="0" borderId="1" xfId="10" applyFont="1" applyFill="1" applyBorder="1" applyAlignment="1">
      <alignment horizontal="center" vertical="center"/>
    </xf>
  </cellXfs>
  <cellStyles count="11">
    <cellStyle name="一般" xfId="0" builtinId="0"/>
    <cellStyle name="一般 2" xfId="3" xr:uid="{00000000-0005-0000-0000-000001000000}"/>
    <cellStyle name="一般 2 2" xfId="6" xr:uid="{00000000-0005-0000-0000-000002000000}"/>
    <cellStyle name="一般 3 4" xfId="10" xr:uid="{00000000-0005-0000-0000-000003000000}"/>
    <cellStyle name="一般_預算書1" xfId="1" xr:uid="{00000000-0005-0000-0000-000004000000}"/>
    <cellStyle name="千分位" xfId="8" builtinId="3"/>
    <cellStyle name="千分位 2" xfId="5" xr:uid="{00000000-0005-0000-0000-000006000000}"/>
    <cellStyle name="千分位 3" xfId="7" xr:uid="{00000000-0005-0000-0000-000007000000}"/>
    <cellStyle name="百分比" xfId="9" builtinId="5"/>
    <cellStyle name="貨幣[0]_1估明" xfId="2" xr:uid="{00000000-0005-0000-0000-000009000000}"/>
    <cellStyle name="樣式 1" xfId="4" xr:uid="{00000000-0005-0000-0000-00000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BCDA7"/>
      <color rgb="FF0000FF"/>
      <color rgb="FF003300"/>
      <color rgb="FF0000CC"/>
      <color rgb="FFF78E37"/>
      <color rgb="FFF8A968"/>
      <color rgb="FFF68426"/>
      <color rgb="FFD1CBAF"/>
      <color rgb="FFA99E67"/>
      <color rgb="FF8279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u="sng"/>
            </a:pPr>
            <a:r>
              <a:rPr lang="zh-TW" sz="2000" u="sng"/>
              <a:t>發包工作費分配比例</a:t>
            </a:r>
          </a:p>
        </c:rich>
      </c:tx>
      <c:layout>
        <c:manualLayout>
          <c:xMode val="edge"/>
          <c:yMode val="edge"/>
          <c:x val="0.32897503978238085"/>
          <c:y val="5.0581689428426911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spPr>
            <a:gradFill>
              <a:gsLst>
                <a:gs pos="0">
                  <a:srgbClr val="FFA2A1"/>
                </a:gs>
                <a:gs pos="35000">
                  <a:srgbClr val="FFBEBD"/>
                </a:gs>
                <a:gs pos="100000">
                  <a:srgbClr val="FFE5E5"/>
                </a:gs>
              </a:gsLst>
              <a:lin ang="16200000" scaled="0"/>
            </a:gradFill>
          </c:spPr>
          <c:dPt>
            <c:idx val="0"/>
            <c:bubble3D val="0"/>
            <c:spPr>
              <a:gradFill>
                <a:gsLst>
                  <a:gs pos="0">
                    <a:srgbClr val="DAFDA7"/>
                  </a:gs>
                  <a:gs pos="35000">
                    <a:srgbClr val="E4FDC2"/>
                  </a:gs>
                  <a:gs pos="100000">
                    <a:srgbClr val="F5FFE6"/>
                  </a:gs>
                </a:gsLst>
                <a:lin ang="16200000" scaled="0"/>
              </a:gradFill>
            </c:spPr>
            <c:extLst>
              <c:ext xmlns:c16="http://schemas.microsoft.com/office/drawing/2014/chart" uri="{C3380CC4-5D6E-409C-BE32-E72D297353CC}">
                <c16:uniqueId val="{00000001-CA26-47DB-BA0D-E344D009E41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F78E37"/>
                  </a:gs>
                  <a:gs pos="35000">
                    <a:srgbClr val="F8A968"/>
                  </a:gs>
                  <a:gs pos="100000">
                    <a:srgbClr val="FBCDA7"/>
                  </a:gs>
                </a:gsLst>
                <a:lin ang="16200000" scaled="0"/>
              </a:gradFill>
            </c:spPr>
            <c:extLst>
              <c:ext xmlns:c16="http://schemas.microsoft.com/office/drawing/2014/chart" uri="{C3380CC4-5D6E-409C-BE32-E72D297353CC}">
                <c16:uniqueId val="{00000003-CA26-47DB-BA0D-E344D009E411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A3C4FF"/>
                  </a:gs>
                  <a:gs pos="35000">
                    <a:srgbClr val="BFD5FF"/>
                  </a:gs>
                  <a:gs pos="100000">
                    <a:srgbClr val="E5EEFF"/>
                  </a:gs>
                </a:gsLst>
                <a:lin ang="16200000" scaled="0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5-CA26-47DB-BA0D-E344D009E411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DAFDA7"/>
                  </a:gs>
                  <a:gs pos="35000">
                    <a:srgbClr val="E4FDC2"/>
                  </a:gs>
                  <a:gs pos="100000">
                    <a:srgbClr val="F5FFE6"/>
                  </a:gs>
                </a:gsLst>
                <a:lin ang="16200000" scaled="0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7-CA26-47DB-BA0D-E344D009E411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rgbClr val="82794A"/>
                  </a:gs>
                  <a:gs pos="35000">
                    <a:srgbClr val="A99E67"/>
                  </a:gs>
                  <a:gs pos="100000">
                    <a:srgbClr val="D1CBAF"/>
                  </a:gs>
                </a:gsLst>
                <a:lin ang="16200000" scaled="0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9-CA26-47DB-BA0D-E344D009E411}"/>
              </c:ext>
            </c:extLst>
          </c:dPt>
          <c:dPt>
            <c:idx val="5"/>
            <c:bubble3D val="0"/>
            <c:spPr>
              <a:gradFill flip="none" rotWithShape="1">
                <a:gsLst>
                  <a:gs pos="0">
                    <a:srgbClr val="FFA2A1"/>
                  </a:gs>
                  <a:gs pos="35000">
                    <a:srgbClr val="FFBEBD"/>
                  </a:gs>
                  <a:gs pos="100000">
                    <a:srgbClr val="FFE5E5"/>
                  </a:gs>
                </a:gsLst>
                <a:lin ang="16200000" scaled="0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B-CA26-47DB-BA0D-E344D009E411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rgbClr val="9EEAFF"/>
                  </a:gs>
                  <a:gs pos="35000">
                    <a:srgbClr val="BBEFFF"/>
                  </a:gs>
                  <a:gs pos="100000">
                    <a:srgbClr val="E4F9FF"/>
                  </a:gs>
                </a:gsLst>
                <a:lin ang="16200000" scaled="0"/>
              </a:gradFill>
            </c:spPr>
            <c:extLst>
              <c:ext xmlns:c16="http://schemas.microsoft.com/office/drawing/2014/chart" uri="{C3380CC4-5D6E-409C-BE32-E72D297353CC}">
                <c16:uniqueId val="{0000000D-CA26-47DB-BA0D-E344D009E411}"/>
              </c:ext>
            </c:extLst>
          </c:dPt>
          <c:dPt>
            <c:idx val="7"/>
            <c:bubble3D val="0"/>
            <c:spPr>
              <a:gradFill flip="none" rotWithShape="1">
                <a:gsLst>
                  <a:gs pos="0">
                    <a:srgbClr val="C9B5E8"/>
                  </a:gs>
                  <a:gs pos="35000">
                    <a:srgbClr val="D9CBEE"/>
                  </a:gs>
                  <a:gs pos="100000">
                    <a:srgbClr val="F0EAF9"/>
                  </a:gs>
                </a:gsLst>
                <a:lin ang="16200000" scaled="0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F-CA26-47DB-BA0D-E344D009E411}"/>
              </c:ext>
            </c:extLst>
          </c:dPt>
          <c:dPt>
            <c:idx val="8"/>
            <c:bubble3D val="0"/>
            <c:spPr>
              <a:gradFill flip="none" rotWithShape="1">
                <a:gsLst>
                  <a:gs pos="0">
                    <a:srgbClr val="257DFF"/>
                  </a:gs>
                  <a:gs pos="35000">
                    <a:srgbClr val="6DA8FF"/>
                  </a:gs>
                  <a:gs pos="100000">
                    <a:srgbClr val="A7CBFF"/>
                  </a:gs>
                </a:gsLst>
                <a:lin ang="16200000" scaled="0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11-CA26-47DB-BA0D-E344D009E411}"/>
              </c:ext>
            </c:extLst>
          </c:dPt>
          <c:dPt>
            <c:idx val="9"/>
            <c:bubble3D val="0"/>
            <c:spPr>
              <a:gradFill flip="none" rotWithShape="1">
                <a:gsLst>
                  <a:gs pos="0">
                    <a:srgbClr val="FFD279"/>
                  </a:gs>
                  <a:gs pos="35000">
                    <a:srgbClr val="FFD5AB"/>
                  </a:gs>
                  <a:gs pos="100000">
                    <a:srgbClr val="FFE0C1"/>
                  </a:gs>
                </a:gsLst>
                <a:lin ang="16200000" scaled="0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13-CA26-47DB-BA0D-E344D009E411}"/>
              </c:ext>
            </c:extLst>
          </c:dPt>
          <c:dLbls>
            <c:dLbl>
              <c:idx val="0"/>
              <c:layout>
                <c:manualLayout>
                  <c:x val="-0.14048651214568991"/>
                  <c:y val="0.19547855455852539"/>
                </c:manualLayout>
              </c:layout>
              <c:spPr/>
              <c:txPr>
                <a:bodyPr/>
                <a:lstStyle/>
                <a:p>
                  <a:pPr>
                    <a:defRPr sz="1400" b="1">
                      <a:solidFill>
                        <a:srgbClr val="003300"/>
                      </a:solidFill>
                    </a:defRPr>
                  </a:pPr>
                  <a:endParaRPr lang="zh-TW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26-47DB-BA0D-E344D009E411}"/>
                </c:ext>
              </c:extLst>
            </c:dLbl>
            <c:dLbl>
              <c:idx val="1"/>
              <c:layout>
                <c:manualLayout>
                  <c:x val="-2.2428790099405451E-3"/>
                  <c:y val="-2.62094400567152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26-47DB-BA0D-E344D009E411}"/>
                </c:ext>
              </c:extLst>
            </c:dLbl>
            <c:dLbl>
              <c:idx val="2"/>
              <c:layout>
                <c:manualLayout>
                  <c:x val="-0.17575536024096114"/>
                  <c:y val="-3.9608888039222717E-2"/>
                </c:manualLayout>
              </c:layout>
              <c:spPr/>
              <c:txPr>
                <a:bodyPr/>
                <a:lstStyle/>
                <a:p>
                  <a:pPr>
                    <a:defRPr sz="1400" b="1">
                      <a:solidFill>
                        <a:srgbClr val="0000CC"/>
                      </a:solidFill>
                    </a:defRPr>
                  </a:pPr>
                  <a:endParaRPr lang="zh-TW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26-47DB-BA0D-E344D009E411}"/>
                </c:ext>
              </c:extLst>
            </c:dLbl>
            <c:dLbl>
              <c:idx val="3"/>
              <c:layout>
                <c:manualLayout>
                  <c:x val="3.2035337302967801E-2"/>
                  <c:y val="-7.33635230345827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26-47DB-BA0D-E344D009E411}"/>
                </c:ext>
              </c:extLst>
            </c:dLbl>
            <c:dLbl>
              <c:idx val="4"/>
              <c:layout>
                <c:manualLayout>
                  <c:x val="7.5290540434385447E-3"/>
                  <c:y val="-2.21582848426192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26-47DB-BA0D-E344D009E411}"/>
                </c:ext>
              </c:extLst>
            </c:dLbl>
            <c:dLbl>
              <c:idx val="5"/>
              <c:layout>
                <c:manualLayout>
                  <c:x val="6.6593264713869851E-2"/>
                  <c:y val="-0.24447142134547295"/>
                </c:manualLayout>
              </c:layout>
              <c:spPr/>
              <c:txPr>
                <a:bodyPr/>
                <a:lstStyle/>
                <a:p>
                  <a:pPr>
                    <a:defRPr sz="1400" b="1">
                      <a:solidFill>
                        <a:srgbClr val="0070C0"/>
                      </a:solidFill>
                    </a:defRPr>
                  </a:pPr>
                  <a:endParaRPr lang="zh-TW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26-47DB-BA0D-E344D009E411}"/>
                </c:ext>
              </c:extLst>
            </c:dLbl>
            <c:dLbl>
              <c:idx val="6"/>
              <c:layout>
                <c:manualLayout>
                  <c:x val="0.1826047752323538"/>
                  <c:y val="-5.9931256696099632E-2"/>
                </c:manualLayout>
              </c:layout>
              <c:spPr/>
              <c:txPr>
                <a:bodyPr/>
                <a:lstStyle/>
                <a:p>
                  <a:pPr>
                    <a:defRPr sz="14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zh-TW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A26-47DB-BA0D-E344D009E411}"/>
                </c:ext>
              </c:extLst>
            </c:dLbl>
            <c:dLbl>
              <c:idx val="8"/>
              <c:layout>
                <c:manualLayout>
                  <c:x val="-2.3106745834913782E-2"/>
                  <c:y val="1.0895375559086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A26-47DB-BA0D-E344D009E4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1">
                        <a:lumMod val="85000"/>
                        <a:lumOff val="15000"/>
                      </a:schemeClr>
                    </a:solidFill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工作表1!$E$5:$E$14</c:f>
              <c:strCache>
                <c:ptCount val="10"/>
                <c:pt idx="0">
                  <c:v>綠建築標章工程</c:v>
                </c:pt>
                <c:pt idx="1">
                  <c:v>景觀步道工程</c:v>
                </c:pt>
                <c:pt idx="2">
                  <c:v>排水溝工程</c:v>
                </c:pt>
                <c:pt idx="3">
                  <c:v>隔離綠帶整地植栽工程</c:v>
                </c:pt>
                <c:pt idx="4">
                  <c:v>休憩座椅</c:v>
                </c:pt>
                <c:pt idx="5">
                  <c:v>大陽能風電路燈</c:v>
                </c:pt>
                <c:pt idx="6">
                  <c:v>噴灌設施工程</c:v>
                </c:pt>
                <c:pt idx="7">
                  <c:v>雜項及交維等</c:v>
                </c:pt>
                <c:pt idx="8">
                  <c:v>勞安衛及環保</c:v>
                </c:pt>
                <c:pt idx="9">
                  <c:v>利管、保險及營業稅</c:v>
                </c:pt>
              </c:strCache>
            </c:strRef>
          </c:cat>
          <c:val>
            <c:numRef>
              <c:f>工作表1!$H$5:$H$14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A26-47DB-BA0D-E344D009E41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微軟正黑體" pitchFamily="34" charset="-120"/>
          <a:ea typeface="微軟正黑體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83002</xdr:colOff>
      <xdr:row>2</xdr:row>
      <xdr:rowOff>36739</xdr:rowOff>
    </xdr:from>
    <xdr:to>
      <xdr:col>19</xdr:col>
      <xdr:colOff>353786</xdr:colOff>
      <xdr:row>34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TIL\WORK\BGT-G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VOL1\DOC\DOC\TCC\SL104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鋼筋明細表"/>
      <sheetName val="計劃書"/>
      <sheetName val="預算書"/>
      <sheetName val="費率表"/>
      <sheetName val="單價分析表"/>
      <sheetName val="工料單價表"/>
      <sheetName val="材料單價"/>
      <sheetName val="工程數量計算"/>
      <sheetName val="土石方"/>
      <sheetName val="鋼筋統計表"/>
      <sheetName val="總表"/>
      <sheetName val="計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土方"/>
      <sheetName val="原計算"/>
      <sheetName val="預算書"/>
      <sheetName val="單析表"/>
      <sheetName val="1變土"/>
      <sheetName val="1變算"/>
      <sheetName val="1變細"/>
      <sheetName val="結土方"/>
      <sheetName val="結計算"/>
      <sheetName val="結明細"/>
      <sheetName val="1讚算"/>
      <sheetName val="單價分析 "/>
      <sheetName val="基本單價"/>
      <sheetName val="Sheet3"/>
      <sheetName val="SL10411"/>
      <sheetName val="單價分析表"/>
      <sheetName val="分析資料"/>
      <sheetName val="單價總表"/>
      <sheetName val="工項單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C21" sqref="C21"/>
    </sheetView>
  </sheetViews>
  <sheetFormatPr defaultColWidth="8.88671875" defaultRowHeight="15.75"/>
  <cols>
    <col min="1" max="1" width="17.44140625" style="14" customWidth="1"/>
    <col min="2" max="12" width="5.77734375" style="14" customWidth="1"/>
    <col min="13" max="16384" width="8.88671875" style="14"/>
  </cols>
  <sheetData>
    <row r="1" spans="1:11">
      <c r="A1" s="206" t="s">
        <v>1</v>
      </c>
      <c r="B1" s="206" t="s">
        <v>2</v>
      </c>
      <c r="C1" s="206"/>
      <c r="D1" s="206"/>
      <c r="E1" s="206"/>
      <c r="F1" s="206"/>
      <c r="G1" s="206"/>
      <c r="H1" s="206"/>
      <c r="I1" s="206"/>
      <c r="J1" s="206"/>
      <c r="K1" s="206"/>
    </row>
    <row r="2" spans="1:11">
      <c r="A2" s="206"/>
      <c r="B2" s="18">
        <v>10</v>
      </c>
      <c r="C2" s="18">
        <v>20</v>
      </c>
      <c r="D2" s="18">
        <v>30</v>
      </c>
      <c r="E2" s="18">
        <v>40</v>
      </c>
      <c r="F2" s="18">
        <v>50</v>
      </c>
      <c r="G2" s="18">
        <v>60</v>
      </c>
      <c r="H2" s="18">
        <v>70</v>
      </c>
      <c r="I2" s="18">
        <v>80</v>
      </c>
      <c r="J2" s="18">
        <v>90</v>
      </c>
      <c r="K2" s="18">
        <v>100</v>
      </c>
    </row>
    <row r="3" spans="1:11" ht="24.75" customHeight="1">
      <c r="A3" s="19" t="s">
        <v>3</v>
      </c>
      <c r="B3" s="20"/>
      <c r="C3" s="15"/>
      <c r="D3" s="15"/>
      <c r="E3" s="15"/>
      <c r="F3" s="15"/>
      <c r="G3" s="15"/>
      <c r="H3" s="15"/>
      <c r="I3" s="15"/>
      <c r="J3" s="15"/>
      <c r="K3" s="15"/>
    </row>
    <row r="4" spans="1:11" ht="24.75" customHeight="1">
      <c r="A4" s="19" t="s">
        <v>4</v>
      </c>
      <c r="B4" s="15"/>
      <c r="C4" s="20"/>
      <c r="D4" s="20"/>
      <c r="E4" s="15"/>
      <c r="F4" s="15"/>
      <c r="G4" s="15"/>
      <c r="H4" s="15"/>
      <c r="I4" s="15"/>
      <c r="J4" s="15"/>
      <c r="K4" s="15"/>
    </row>
    <row r="5" spans="1:11" ht="24.75" customHeight="1">
      <c r="A5" s="19" t="s">
        <v>5</v>
      </c>
      <c r="B5" s="15"/>
      <c r="C5" s="15"/>
      <c r="D5" s="15"/>
      <c r="E5" s="20"/>
      <c r="F5" s="15"/>
      <c r="G5" s="15"/>
      <c r="H5" s="15"/>
      <c r="I5" s="15"/>
      <c r="J5" s="15"/>
      <c r="K5" s="15"/>
    </row>
    <row r="6" spans="1:11" ht="24.75" customHeight="1">
      <c r="A6" s="19" t="s">
        <v>6</v>
      </c>
      <c r="B6" s="15"/>
      <c r="C6" s="15"/>
      <c r="D6" s="15"/>
      <c r="E6" s="15"/>
      <c r="F6" s="16"/>
      <c r="G6" s="16"/>
      <c r="H6" s="16"/>
      <c r="I6" s="16"/>
      <c r="J6" s="16"/>
      <c r="K6" s="15"/>
    </row>
    <row r="7" spans="1:11" ht="24.75" customHeight="1">
      <c r="A7" s="19" t="s">
        <v>7</v>
      </c>
      <c r="B7" s="15"/>
      <c r="C7" s="15"/>
      <c r="D7" s="15"/>
      <c r="E7" s="15"/>
      <c r="F7" s="15"/>
      <c r="G7" s="15"/>
      <c r="H7" s="15"/>
      <c r="I7" s="15"/>
      <c r="J7" s="15"/>
      <c r="K7" s="20"/>
    </row>
  </sheetData>
  <mergeCells count="2">
    <mergeCell ref="A1:A2"/>
    <mergeCell ref="B1:K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showGridLines="0" view="pageBreakPreview" topLeftCell="A4" zoomScale="130" zoomScaleNormal="115" zoomScaleSheetLayoutView="130" zoomScalePageLayoutView="115" workbookViewId="0">
      <selection activeCell="J34" sqref="J34"/>
    </sheetView>
  </sheetViews>
  <sheetFormatPr defaultColWidth="8.88671875" defaultRowHeight="15.75"/>
  <cols>
    <col min="1" max="1" width="4.33203125" style="6" customWidth="1"/>
    <col min="2" max="2" width="28.6640625" style="6" customWidth="1"/>
    <col min="3" max="3" width="3.77734375" style="6" customWidth="1"/>
    <col min="4" max="4" width="7.77734375" style="17" customWidth="1"/>
    <col min="5" max="5" width="12.109375" style="6" customWidth="1"/>
    <col min="6" max="6" width="15.88671875" style="6" customWidth="1"/>
    <col min="7" max="7" width="11.109375" style="6" customWidth="1"/>
    <col min="8" max="8" width="13.44140625" style="4" customWidth="1"/>
    <col min="9" max="10" width="13.44140625" style="6" customWidth="1"/>
    <col min="11" max="12" width="7.77734375" style="6" customWidth="1"/>
    <col min="13" max="16384" width="8.88671875" style="6"/>
  </cols>
  <sheetData>
    <row r="1" spans="1:12" s="3" customFormat="1" ht="14.45" customHeight="1">
      <c r="A1" s="207" t="s">
        <v>110</v>
      </c>
      <c r="B1" s="207"/>
      <c r="C1" s="207"/>
      <c r="D1" s="207"/>
      <c r="E1" s="207"/>
      <c r="F1" s="207"/>
      <c r="G1" s="207"/>
      <c r="H1" s="1"/>
      <c r="I1" s="2"/>
    </row>
    <row r="2" spans="1:12" s="3" customFormat="1" ht="23.25" customHeight="1">
      <c r="A2" s="115" t="s">
        <v>71</v>
      </c>
      <c r="B2" s="116" t="s">
        <v>72</v>
      </c>
      <c r="C2" s="115" t="s">
        <v>73</v>
      </c>
      <c r="D2" s="117" t="s">
        <v>74</v>
      </c>
      <c r="E2" s="118" t="s">
        <v>75</v>
      </c>
      <c r="F2" s="94" t="s">
        <v>69</v>
      </c>
      <c r="G2" s="93" t="s">
        <v>70</v>
      </c>
      <c r="H2" s="1"/>
      <c r="I2" s="2"/>
    </row>
    <row r="3" spans="1:12" ht="15.95" customHeight="1">
      <c r="A3" s="119" t="s">
        <v>76</v>
      </c>
      <c r="B3" s="120" t="s">
        <v>77</v>
      </c>
      <c r="C3" s="119"/>
      <c r="D3" s="121"/>
      <c r="E3" s="122"/>
      <c r="F3" s="95"/>
      <c r="G3" s="96"/>
      <c r="I3" s="5"/>
    </row>
    <row r="4" spans="1:12" s="3" customFormat="1" ht="15.95" customHeight="1">
      <c r="A4" s="123" t="s">
        <v>78</v>
      </c>
      <c r="B4" s="124" t="s">
        <v>83</v>
      </c>
      <c r="C4" s="123"/>
      <c r="D4" s="97"/>
      <c r="E4" s="97"/>
      <c r="F4" s="97">
        <f>SUM(F5:F5)</f>
        <v>1305000</v>
      </c>
      <c r="G4" s="98"/>
      <c r="H4" s="1"/>
      <c r="I4" s="2"/>
    </row>
    <row r="5" spans="1:12" s="3" customFormat="1" ht="15.95" customHeight="1">
      <c r="A5" s="125">
        <v>1</v>
      </c>
      <c r="B5" s="126" t="s">
        <v>84</v>
      </c>
      <c r="C5" s="125" t="s">
        <v>81</v>
      </c>
      <c r="D5" s="99">
        <v>870</v>
      </c>
      <c r="E5" s="99">
        <v>1500</v>
      </c>
      <c r="F5" s="99">
        <f>ROUND(D5*E5,0)</f>
        <v>1305000</v>
      </c>
      <c r="G5" s="100"/>
      <c r="H5" s="1"/>
      <c r="I5" s="2"/>
    </row>
    <row r="6" spans="1:12" s="3" customFormat="1" ht="15.95" customHeight="1">
      <c r="A6" s="123" t="s">
        <v>82</v>
      </c>
      <c r="B6" s="124" t="s">
        <v>88</v>
      </c>
      <c r="C6" s="123"/>
      <c r="D6" s="97"/>
      <c r="E6" s="97"/>
      <c r="F6" s="97">
        <f>SUM(F7:F13)</f>
        <v>4167000</v>
      </c>
      <c r="G6" s="98"/>
      <c r="H6" s="1"/>
      <c r="I6" s="2"/>
    </row>
    <row r="7" spans="1:12" s="3" customFormat="1" ht="15.95" customHeight="1">
      <c r="A7" s="125">
        <v>1</v>
      </c>
      <c r="B7" s="127" t="s">
        <v>89</v>
      </c>
      <c r="C7" s="125" t="s">
        <v>81</v>
      </c>
      <c r="D7" s="128">
        <v>3450</v>
      </c>
      <c r="E7" s="128">
        <v>20</v>
      </c>
      <c r="F7" s="99">
        <f t="shared" ref="F7:F13" si="0">ROUND(D7*E7,0)</f>
        <v>69000</v>
      </c>
      <c r="G7" s="101"/>
      <c r="H7" s="1"/>
      <c r="I7" s="2"/>
    </row>
    <row r="8" spans="1:12" s="3" customFormat="1" ht="15.95" customHeight="1">
      <c r="A8" s="125">
        <v>2</v>
      </c>
      <c r="B8" s="127" t="s">
        <v>86</v>
      </c>
      <c r="C8" s="125" t="s">
        <v>79</v>
      </c>
      <c r="D8" s="99">
        <v>10</v>
      </c>
      <c r="E8" s="128">
        <v>6000</v>
      </c>
      <c r="F8" s="99">
        <f t="shared" si="0"/>
        <v>60000</v>
      </c>
      <c r="G8" s="101"/>
      <c r="H8" s="1"/>
      <c r="I8" s="2"/>
    </row>
    <row r="9" spans="1:12" s="3" customFormat="1" ht="15.95" customHeight="1">
      <c r="A9" s="125">
        <v>3</v>
      </c>
      <c r="B9" s="126" t="s">
        <v>90</v>
      </c>
      <c r="C9" s="125" t="s">
        <v>79</v>
      </c>
      <c r="D9" s="99">
        <v>30</v>
      </c>
      <c r="E9" s="99">
        <v>10000</v>
      </c>
      <c r="F9" s="99">
        <f t="shared" si="0"/>
        <v>300000</v>
      </c>
      <c r="G9" s="100"/>
      <c r="H9" s="1"/>
      <c r="I9" s="2"/>
    </row>
    <row r="10" spans="1:12" s="3" customFormat="1" ht="15.95" customHeight="1">
      <c r="A10" s="125">
        <v>4</v>
      </c>
      <c r="B10" s="126" t="s">
        <v>91</v>
      </c>
      <c r="C10" s="125" t="s">
        <v>79</v>
      </c>
      <c r="D10" s="99">
        <v>620</v>
      </c>
      <c r="E10" s="99">
        <v>150</v>
      </c>
      <c r="F10" s="99">
        <f t="shared" si="0"/>
        <v>93000</v>
      </c>
      <c r="G10" s="100"/>
      <c r="H10" s="1"/>
      <c r="I10" s="2"/>
    </row>
    <row r="11" spans="1:12" s="3" customFormat="1" ht="15.95" customHeight="1">
      <c r="A11" s="125">
        <v>5</v>
      </c>
      <c r="B11" s="126" t="s">
        <v>111</v>
      </c>
      <c r="C11" s="125" t="s">
        <v>81</v>
      </c>
      <c r="D11" s="128">
        <v>2400</v>
      </c>
      <c r="E11" s="99">
        <v>1300</v>
      </c>
      <c r="F11" s="99">
        <f t="shared" si="0"/>
        <v>3120000</v>
      </c>
      <c r="G11" s="100"/>
      <c r="H11" s="1"/>
      <c r="I11" s="2"/>
    </row>
    <row r="12" spans="1:12" s="3" customFormat="1" ht="15.95" customHeight="1">
      <c r="A12" s="125">
        <v>6</v>
      </c>
      <c r="B12" s="126" t="s">
        <v>112</v>
      </c>
      <c r="C12" s="125" t="s">
        <v>81</v>
      </c>
      <c r="D12" s="128">
        <v>1050</v>
      </c>
      <c r="E12" s="99">
        <v>300</v>
      </c>
      <c r="F12" s="99">
        <f t="shared" si="0"/>
        <v>315000</v>
      </c>
      <c r="G12" s="100"/>
      <c r="H12" s="1"/>
      <c r="I12" s="2"/>
    </row>
    <row r="13" spans="1:12" s="3" customFormat="1" ht="15.95" customHeight="1">
      <c r="A13" s="125">
        <v>7</v>
      </c>
      <c r="B13" s="126" t="s">
        <v>113</v>
      </c>
      <c r="C13" s="125" t="s">
        <v>81</v>
      </c>
      <c r="D13" s="128">
        <v>1050</v>
      </c>
      <c r="E13" s="99">
        <v>200</v>
      </c>
      <c r="F13" s="99">
        <f t="shared" si="0"/>
        <v>210000</v>
      </c>
      <c r="G13" s="100"/>
      <c r="H13" s="1"/>
      <c r="I13" s="2"/>
    </row>
    <row r="14" spans="1:12" s="3" customFormat="1" ht="15.95" customHeight="1">
      <c r="A14" s="123" t="s">
        <v>85</v>
      </c>
      <c r="B14" s="130" t="s">
        <v>96</v>
      </c>
      <c r="C14" s="123" t="s">
        <v>80</v>
      </c>
      <c r="D14" s="97"/>
      <c r="E14" s="97"/>
      <c r="F14" s="97">
        <f>SUM(F15:F19)</f>
        <v>346560</v>
      </c>
      <c r="G14" s="102"/>
      <c r="H14" s="9"/>
      <c r="I14" s="10"/>
      <c r="J14" s="7"/>
      <c r="K14" s="7"/>
      <c r="L14" s="8"/>
    </row>
    <row r="15" spans="1:12" s="3" customFormat="1" ht="15.95" customHeight="1">
      <c r="A15" s="125">
        <v>1</v>
      </c>
      <c r="B15" s="129" t="s">
        <v>97</v>
      </c>
      <c r="C15" s="125" t="s">
        <v>98</v>
      </c>
      <c r="D15" s="99">
        <v>1</v>
      </c>
      <c r="E15" s="99">
        <v>6000</v>
      </c>
      <c r="F15" s="99">
        <f>D15*E15</f>
        <v>6000</v>
      </c>
      <c r="G15" s="103"/>
      <c r="H15" s="9"/>
      <c r="J15" s="7"/>
      <c r="K15" s="7"/>
      <c r="L15" s="8"/>
    </row>
    <row r="16" spans="1:12" s="3" customFormat="1" ht="15.95" customHeight="1">
      <c r="A16" s="125">
        <v>2</v>
      </c>
      <c r="B16" s="129" t="s">
        <v>99</v>
      </c>
      <c r="C16" s="125" t="s">
        <v>80</v>
      </c>
      <c r="D16" s="99">
        <v>1</v>
      </c>
      <c r="E16" s="99">
        <v>30000</v>
      </c>
      <c r="F16" s="99">
        <f>D16*E16</f>
        <v>30000</v>
      </c>
      <c r="G16" s="103"/>
      <c r="H16" s="9"/>
      <c r="J16" s="7"/>
      <c r="K16" s="7"/>
      <c r="L16" s="8"/>
    </row>
    <row r="17" spans="1:12" s="3" customFormat="1" ht="15.95" customHeight="1">
      <c r="A17" s="125">
        <v>3</v>
      </c>
      <c r="B17" s="129" t="s">
        <v>100</v>
      </c>
      <c r="C17" s="125" t="s">
        <v>68</v>
      </c>
      <c r="D17" s="99">
        <v>150</v>
      </c>
      <c r="E17" s="99">
        <v>1300</v>
      </c>
      <c r="F17" s="99">
        <f>D17*E17</f>
        <v>195000</v>
      </c>
      <c r="G17" s="103"/>
      <c r="H17" s="9"/>
      <c r="J17" s="7"/>
      <c r="K17" s="7"/>
      <c r="L17" s="8"/>
    </row>
    <row r="18" spans="1:12" s="3" customFormat="1" ht="15.95" customHeight="1">
      <c r="A18" s="125">
        <v>4</v>
      </c>
      <c r="B18" s="126" t="s">
        <v>101</v>
      </c>
      <c r="C18" s="125" t="s">
        <v>81</v>
      </c>
      <c r="D18" s="131">
        <v>4380</v>
      </c>
      <c r="E18" s="99">
        <v>12</v>
      </c>
      <c r="F18" s="99">
        <f>ROUND(D18*E18,0)</f>
        <v>52560</v>
      </c>
      <c r="G18" s="103"/>
      <c r="H18" s="9"/>
      <c r="J18" s="7"/>
      <c r="K18" s="7"/>
      <c r="L18" s="8"/>
    </row>
    <row r="19" spans="1:12" s="3" customFormat="1" ht="15.95" customHeight="1">
      <c r="A19" s="125">
        <v>5</v>
      </c>
      <c r="B19" s="129" t="s">
        <v>102</v>
      </c>
      <c r="C19" s="125" t="s">
        <v>80</v>
      </c>
      <c r="D19" s="99">
        <v>1</v>
      </c>
      <c r="E19" s="99">
        <f>ROUNDUP(SUM(F4+F6)*1.2%,-3)-3000</f>
        <v>63000</v>
      </c>
      <c r="F19" s="99">
        <f>D19*E19</f>
        <v>63000</v>
      </c>
      <c r="G19" s="103"/>
      <c r="H19" s="9"/>
      <c r="J19" s="7"/>
      <c r="K19" s="7"/>
      <c r="L19" s="8"/>
    </row>
    <row r="20" spans="1:12" s="3" customFormat="1" ht="15.95" customHeight="1">
      <c r="A20" s="132"/>
      <c r="B20" s="133" t="s">
        <v>114</v>
      </c>
      <c r="C20" s="132"/>
      <c r="D20" s="104"/>
      <c r="E20" s="104"/>
      <c r="F20" s="104">
        <f>SUM(F4+F6+F14)</f>
        <v>5818560</v>
      </c>
      <c r="G20" s="105"/>
      <c r="H20" s="9"/>
      <c r="K20" s="10"/>
      <c r="L20" s="10"/>
    </row>
    <row r="21" spans="1:12" s="3" customFormat="1" ht="15.95" customHeight="1">
      <c r="A21" s="123" t="s">
        <v>87</v>
      </c>
      <c r="B21" s="124" t="s">
        <v>104</v>
      </c>
      <c r="C21" s="123" t="s">
        <v>105</v>
      </c>
      <c r="D21" s="97">
        <v>1</v>
      </c>
      <c r="E21" s="97">
        <f>ROUND($F$20*1%,0)</f>
        <v>58186</v>
      </c>
      <c r="F21" s="97">
        <f>ROUND(D21*E21,0)</f>
        <v>58186</v>
      </c>
      <c r="G21" s="106" t="s">
        <v>131</v>
      </c>
      <c r="H21" s="9"/>
      <c r="K21" s="10"/>
      <c r="L21" s="10"/>
    </row>
    <row r="22" spans="1:12" s="3" customFormat="1" ht="15.95" customHeight="1">
      <c r="A22" s="134" t="s">
        <v>92</v>
      </c>
      <c r="B22" s="124" t="s">
        <v>115</v>
      </c>
      <c r="C22" s="123" t="s">
        <v>105</v>
      </c>
      <c r="D22" s="97">
        <v>1</v>
      </c>
      <c r="E22" s="97">
        <f>ROUND($F$20*1%,0)</f>
        <v>58186</v>
      </c>
      <c r="F22" s="97">
        <f>ROUND(D22*E22,0)</f>
        <v>58186</v>
      </c>
      <c r="G22" s="106" t="s">
        <v>131</v>
      </c>
      <c r="H22" s="9"/>
    </row>
    <row r="23" spans="1:12" s="3" customFormat="1" ht="15.95" customHeight="1">
      <c r="A23" s="123" t="s">
        <v>93</v>
      </c>
      <c r="B23" s="124" t="s">
        <v>116</v>
      </c>
      <c r="C23" s="123" t="s">
        <v>105</v>
      </c>
      <c r="D23" s="97">
        <v>1</v>
      </c>
      <c r="E23" s="97">
        <f>ROUND($F$20*0.5%,0)</f>
        <v>29093</v>
      </c>
      <c r="F23" s="97">
        <f t="shared" ref="F23:F26" si="1">ROUND(D23*E23,0)</f>
        <v>29093</v>
      </c>
      <c r="G23" s="106" t="s">
        <v>132</v>
      </c>
      <c r="H23" s="9"/>
    </row>
    <row r="24" spans="1:12" s="3" customFormat="1" ht="15.95" customHeight="1">
      <c r="A24" s="123" t="s">
        <v>94</v>
      </c>
      <c r="B24" s="124" t="s">
        <v>117</v>
      </c>
      <c r="C24" s="123" t="s">
        <v>105</v>
      </c>
      <c r="D24" s="97">
        <v>1</v>
      </c>
      <c r="E24" s="97">
        <f>ROUND($F$20*1%,0)</f>
        <v>58186</v>
      </c>
      <c r="F24" s="97">
        <f t="shared" si="1"/>
        <v>58186</v>
      </c>
      <c r="G24" s="106" t="s">
        <v>131</v>
      </c>
      <c r="H24" s="9"/>
    </row>
    <row r="25" spans="1:12" s="3" customFormat="1" ht="15.95" customHeight="1">
      <c r="A25" s="123" t="s">
        <v>95</v>
      </c>
      <c r="B25" s="124" t="s">
        <v>118</v>
      </c>
      <c r="C25" s="123" t="s">
        <v>105</v>
      </c>
      <c r="D25" s="97">
        <v>1</v>
      </c>
      <c r="E25" s="97">
        <f>ROUND($F$20*1%,0)</f>
        <v>58186</v>
      </c>
      <c r="F25" s="97">
        <f t="shared" si="1"/>
        <v>58186</v>
      </c>
      <c r="G25" s="106" t="s">
        <v>131</v>
      </c>
      <c r="H25" s="21">
        <f>SUM(F20:F25)</f>
        <v>6080397</v>
      </c>
    </row>
    <row r="26" spans="1:12" s="3" customFormat="1" ht="15.95" customHeight="1">
      <c r="A26" s="134" t="s">
        <v>103</v>
      </c>
      <c r="B26" s="130" t="s">
        <v>120</v>
      </c>
      <c r="C26" s="123" t="s">
        <v>105</v>
      </c>
      <c r="D26" s="97">
        <v>1</v>
      </c>
      <c r="E26" s="97">
        <f>ROUND(H25*7%,0)-590-4</f>
        <v>425034</v>
      </c>
      <c r="F26" s="97">
        <f t="shared" si="1"/>
        <v>425034</v>
      </c>
      <c r="G26" s="106" t="s">
        <v>133</v>
      </c>
      <c r="H26" s="9"/>
    </row>
    <row r="27" spans="1:12" s="3" customFormat="1" ht="15.95" customHeight="1">
      <c r="A27" s="135"/>
      <c r="B27" s="133" t="s">
        <v>121</v>
      </c>
      <c r="C27" s="132"/>
      <c r="D27" s="104"/>
      <c r="E27" s="104"/>
      <c r="F27" s="104">
        <f>SUM(F20:F26)-1000-650</f>
        <v>6503781</v>
      </c>
      <c r="G27" s="107"/>
      <c r="H27" s="9"/>
    </row>
    <row r="28" spans="1:12" s="3" customFormat="1" ht="15.95" customHeight="1">
      <c r="A28" s="134" t="s">
        <v>119</v>
      </c>
      <c r="B28" s="124" t="s">
        <v>123</v>
      </c>
      <c r="C28" s="123" t="s">
        <v>105</v>
      </c>
      <c r="D28" s="97">
        <v>1</v>
      </c>
      <c r="E28" s="97">
        <f>ROUND(F27*0.8%,0)</f>
        <v>52030</v>
      </c>
      <c r="F28" s="97">
        <f>ROUND(D28*E28,2)</f>
        <v>52030</v>
      </c>
      <c r="G28" s="106" t="s">
        <v>134</v>
      </c>
      <c r="H28" s="9"/>
    </row>
    <row r="29" spans="1:12" s="3" customFormat="1" ht="15.95" customHeight="1">
      <c r="A29" s="135"/>
      <c r="B29" s="133" t="s">
        <v>124</v>
      </c>
      <c r="C29" s="132"/>
      <c r="D29" s="104"/>
      <c r="E29" s="104"/>
      <c r="F29" s="104">
        <f>SUM(F27:F28)</f>
        <v>6555811</v>
      </c>
      <c r="G29" s="107"/>
      <c r="H29" s="9"/>
    </row>
    <row r="30" spans="1:12" s="3" customFormat="1" ht="15.95" customHeight="1">
      <c r="A30" s="134" t="s">
        <v>122</v>
      </c>
      <c r="B30" s="124" t="s">
        <v>125</v>
      </c>
      <c r="C30" s="123" t="s">
        <v>105</v>
      </c>
      <c r="D30" s="97">
        <v>1</v>
      </c>
      <c r="E30" s="97">
        <f>ROUND(F27*5%,0)</f>
        <v>325189</v>
      </c>
      <c r="F30" s="97">
        <f>D30*E30</f>
        <v>325189</v>
      </c>
      <c r="G30" s="106" t="s">
        <v>135</v>
      </c>
      <c r="H30" s="1"/>
      <c r="J30" s="22">
        <f>5000000*0.105+5000000*0.1+10260000*0.089</f>
        <v>1938140</v>
      </c>
    </row>
    <row r="31" spans="1:12" s="3" customFormat="1" ht="15.95" customHeight="1">
      <c r="A31" s="135"/>
      <c r="B31" s="133" t="s">
        <v>126</v>
      </c>
      <c r="C31" s="132"/>
      <c r="D31" s="104"/>
      <c r="E31" s="104"/>
      <c r="F31" s="104">
        <f>SUM(F29:F30)</f>
        <v>6881000</v>
      </c>
      <c r="G31" s="108"/>
      <c r="H31" s="1"/>
    </row>
    <row r="32" spans="1:12" s="3" customFormat="1" ht="15.95" customHeight="1">
      <c r="A32" s="136" t="s">
        <v>106</v>
      </c>
      <c r="B32" s="137" t="s">
        <v>127</v>
      </c>
      <c r="C32" s="136" t="s">
        <v>105</v>
      </c>
      <c r="D32" s="109">
        <v>1</v>
      </c>
      <c r="E32" s="109">
        <f>ROUND((5000000*10.5%+((F27-5000000)*10%)),-3)</f>
        <v>675000</v>
      </c>
      <c r="F32" s="109">
        <f>D32*E32</f>
        <v>675000</v>
      </c>
      <c r="G32" s="110"/>
      <c r="H32" s="9"/>
    </row>
    <row r="33" spans="1:9" s="3" customFormat="1" ht="15.95" customHeight="1">
      <c r="A33" s="136"/>
      <c r="B33" s="137" t="str">
        <f>"(5000000*10.5%+("&amp;F27&amp;"-5000000*10.0%))"</f>
        <v>(5000000*10.5%+(6503781-5000000*10.0%))</v>
      </c>
      <c r="C33" s="136"/>
      <c r="D33" s="109"/>
      <c r="E33" s="109"/>
      <c r="F33" s="109"/>
      <c r="G33" s="110"/>
      <c r="H33" s="91">
        <f>ROUND(((5000000*10.5%)+(F27-5000000)*10%)*98%,-3)</f>
        <v>662000</v>
      </c>
    </row>
    <row r="34" spans="1:9" s="3" customFormat="1" ht="15.95" customHeight="1">
      <c r="A34" s="136" t="s">
        <v>107</v>
      </c>
      <c r="B34" s="137" t="s">
        <v>108</v>
      </c>
      <c r="C34" s="136" t="s">
        <v>105</v>
      </c>
      <c r="D34" s="109">
        <v>1</v>
      </c>
      <c r="E34" s="109">
        <f>ROUND(5000000*3.5%+(F27-5000000)*3%,-3)</f>
        <v>220000</v>
      </c>
      <c r="F34" s="109">
        <f>D34*E34</f>
        <v>220000</v>
      </c>
      <c r="G34" s="110"/>
      <c r="H34" s="1"/>
    </row>
    <row r="35" spans="1:9" s="3" customFormat="1" ht="15.95" customHeight="1">
      <c r="A35" s="136"/>
      <c r="B35" s="137" t="str">
        <f>"5000000*3.5%+("&amp;F27&amp;"-5000000)*3.0%"</f>
        <v>5000000*3.5%+(6503781-5000000)*3.0%</v>
      </c>
      <c r="C35" s="136"/>
      <c r="D35" s="109"/>
      <c r="E35" s="109"/>
      <c r="F35" s="109"/>
      <c r="G35" s="110"/>
      <c r="H35" s="1"/>
    </row>
    <row r="36" spans="1:9" s="3" customFormat="1" ht="15.95" customHeight="1">
      <c r="A36" s="136" t="s">
        <v>128</v>
      </c>
      <c r="B36" s="137" t="s">
        <v>109</v>
      </c>
      <c r="C36" s="136" t="s">
        <v>105</v>
      </c>
      <c r="D36" s="109">
        <v>1</v>
      </c>
      <c r="E36" s="109">
        <f>ROUND(F31*0.35%,0)-84</f>
        <v>24000</v>
      </c>
      <c r="F36" s="109">
        <f>D36*E36</f>
        <v>24000</v>
      </c>
      <c r="G36" s="110"/>
      <c r="H36" s="1"/>
    </row>
    <row r="37" spans="1:9" ht="14.45" customHeight="1">
      <c r="A37" s="135"/>
      <c r="B37" s="138" t="s">
        <v>129</v>
      </c>
      <c r="C37" s="132"/>
      <c r="D37" s="104"/>
      <c r="E37" s="104"/>
      <c r="F37" s="111">
        <f>SUM(F31:F36)</f>
        <v>7800000</v>
      </c>
      <c r="G37" s="112"/>
      <c r="H37" s="92">
        <f>4000000-F38</f>
        <v>-3800000</v>
      </c>
    </row>
    <row r="38" spans="1:9" ht="26.25" customHeight="1">
      <c r="A38" s="139"/>
      <c r="B38" s="140" t="s">
        <v>130</v>
      </c>
      <c r="C38" s="140"/>
      <c r="D38" s="141"/>
      <c r="E38" s="141"/>
      <c r="F38" s="113">
        <f>F37</f>
        <v>7800000</v>
      </c>
      <c r="G38" s="114"/>
      <c r="H38" s="11"/>
    </row>
    <row r="39" spans="1:9" ht="14.45" customHeight="1">
      <c r="B39" s="142"/>
      <c r="C39" s="142"/>
      <c r="D39" s="143"/>
      <c r="E39" s="144"/>
      <c r="F39" s="12" t="s">
        <v>0</v>
      </c>
      <c r="G39" s="13"/>
    </row>
    <row r="41" spans="1:9">
      <c r="I41" s="6">
        <f>11867800</f>
        <v>11867800</v>
      </c>
    </row>
    <row r="42" spans="1:9">
      <c r="I42" s="6">
        <f>I41*86/100</f>
        <v>10206308</v>
      </c>
    </row>
    <row r="43" spans="1:9">
      <c r="I43" s="6">
        <f>I41*14/100</f>
        <v>1661492</v>
      </c>
    </row>
    <row r="44" spans="1:9">
      <c r="I44" s="6">
        <f>I42+I43</f>
        <v>11867800</v>
      </c>
    </row>
    <row r="45" spans="1:9">
      <c r="I45" s="6">
        <f>I41-I44</f>
        <v>0</v>
      </c>
    </row>
  </sheetData>
  <mergeCells count="1">
    <mergeCell ref="A1:G1"/>
  </mergeCells>
  <phoneticPr fontId="3" type="noConversion"/>
  <printOptions gridLinesSet="0"/>
  <pageMargins left="0.47244094488188981" right="0.15748031496062992" top="0.51181102362204722" bottom="1.3385826771653544" header="0.35433070866141736" footer="1.1023622047244095"/>
  <pageSetup paperSize="9" scale="90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O46"/>
  <sheetViews>
    <sheetView topLeftCell="A10" workbookViewId="0">
      <selection activeCell="N15" sqref="N15"/>
    </sheetView>
  </sheetViews>
  <sheetFormatPr defaultRowHeight="14.25"/>
  <cols>
    <col min="1" max="1" width="3.6640625" style="23" customWidth="1"/>
    <col min="2" max="2" width="4.6640625" style="23" customWidth="1"/>
    <col min="3" max="3" width="18.5546875" style="23" customWidth="1"/>
    <col min="4" max="4" width="5.77734375" style="23" customWidth="1"/>
    <col min="5" max="5" width="5.109375" style="23" customWidth="1"/>
    <col min="6" max="6" width="8.88671875" style="24"/>
    <col min="7" max="7" width="12" style="23" customWidth="1"/>
    <col min="8" max="8" width="15.33203125" style="23" customWidth="1"/>
    <col min="9" max="9" width="8.88671875" style="23" customWidth="1"/>
    <col min="10" max="10" width="18" style="23" customWidth="1"/>
    <col min="11" max="12" width="11.33203125" style="23" bestFit="1" customWidth="1"/>
    <col min="13" max="14" width="8.88671875" style="23"/>
    <col min="15" max="15" width="12.33203125" style="23" bestFit="1" customWidth="1"/>
    <col min="16" max="16384" width="8.88671875" style="23"/>
  </cols>
  <sheetData>
    <row r="1" spans="1:15" ht="25.5">
      <c r="B1" s="208" t="s">
        <v>67</v>
      </c>
      <c r="C1" s="208"/>
      <c r="D1" s="208"/>
      <c r="E1" s="208"/>
      <c r="F1" s="208"/>
      <c r="G1" s="208"/>
      <c r="H1" s="208"/>
      <c r="I1" s="208"/>
      <c r="J1" s="31"/>
      <c r="K1" s="30"/>
      <c r="L1" s="30"/>
    </row>
    <row r="2" spans="1:15" ht="15" thickBot="1">
      <c r="B2" s="90"/>
      <c r="C2" s="30"/>
      <c r="D2" s="31"/>
      <c r="E2" s="31"/>
      <c r="F2" s="32"/>
      <c r="G2" s="31"/>
      <c r="H2" s="31"/>
      <c r="I2" s="89" t="s">
        <v>66</v>
      </c>
      <c r="J2" s="31"/>
      <c r="K2" s="30"/>
      <c r="L2" s="30"/>
    </row>
    <row r="3" spans="1:15" ht="18.75" customHeight="1" thickBot="1">
      <c r="A3" s="211" t="s">
        <v>65</v>
      </c>
      <c r="B3" s="212"/>
      <c r="C3" s="87" t="s">
        <v>64</v>
      </c>
      <c r="D3" s="87" t="s">
        <v>63</v>
      </c>
      <c r="E3" s="87" t="s">
        <v>62</v>
      </c>
      <c r="F3" s="88" t="s">
        <v>61</v>
      </c>
      <c r="G3" s="87" t="s">
        <v>60</v>
      </c>
      <c r="H3" s="87" t="s">
        <v>59</v>
      </c>
      <c r="I3" s="86" t="s">
        <v>58</v>
      </c>
      <c r="J3" s="33"/>
      <c r="K3" s="30"/>
      <c r="L3" s="30"/>
    </row>
    <row r="4" spans="1:15" ht="18.75" customHeight="1" thickBot="1">
      <c r="A4" s="225" t="s">
        <v>57</v>
      </c>
      <c r="B4" s="57" t="s">
        <v>56</v>
      </c>
      <c r="C4" s="85" t="s">
        <v>55</v>
      </c>
      <c r="D4" s="55"/>
      <c r="E4" s="55" t="s">
        <v>13</v>
      </c>
      <c r="F4" s="54">
        <v>1</v>
      </c>
      <c r="G4" s="84"/>
      <c r="H4" s="52">
        <f>SUM(H5:H13)</f>
        <v>151333</v>
      </c>
      <c r="I4" s="221" t="s">
        <v>54</v>
      </c>
      <c r="J4" s="75" t="e">
        <f>O28</f>
        <v>#REF!</v>
      </c>
      <c r="K4" s="83" t="e">
        <f>J4-H4</f>
        <v>#REF!</v>
      </c>
      <c r="L4" s="83"/>
    </row>
    <row r="5" spans="1:15" ht="18.75" customHeight="1" thickBot="1">
      <c r="A5" s="225"/>
      <c r="B5" s="44">
        <v>1</v>
      </c>
      <c r="C5" s="82" t="s">
        <v>53</v>
      </c>
      <c r="D5" s="42"/>
      <c r="E5" s="68" t="s">
        <v>52</v>
      </c>
      <c r="F5" s="65">
        <v>1</v>
      </c>
      <c r="G5" s="71">
        <v>18000</v>
      </c>
      <c r="H5" s="71">
        <f t="shared" ref="H5:H13" si="0">F5*G5</f>
        <v>18000</v>
      </c>
      <c r="I5" s="221"/>
      <c r="J5" s="33"/>
      <c r="K5" s="81"/>
      <c r="L5" s="81"/>
    </row>
    <row r="6" spans="1:15" ht="18.75" customHeight="1" thickBot="1">
      <c r="A6" s="225"/>
      <c r="B6" s="44">
        <v>2</v>
      </c>
      <c r="C6" s="82" t="s">
        <v>51</v>
      </c>
      <c r="D6" s="42"/>
      <c r="E6" s="68" t="s">
        <v>46</v>
      </c>
      <c r="F6" s="65">
        <v>1</v>
      </c>
      <c r="G6" s="71">
        <v>32000</v>
      </c>
      <c r="H6" s="71">
        <f t="shared" si="0"/>
        <v>32000</v>
      </c>
      <c r="I6" s="221"/>
      <c r="J6" s="33"/>
      <c r="K6" s="81"/>
      <c r="L6" s="81"/>
    </row>
    <row r="7" spans="1:15" ht="18.75" customHeight="1" thickBot="1">
      <c r="A7" s="225"/>
      <c r="B7" s="44">
        <v>3</v>
      </c>
      <c r="C7" s="67" t="s">
        <v>50</v>
      </c>
      <c r="D7" s="42"/>
      <c r="E7" s="68" t="s">
        <v>26</v>
      </c>
      <c r="F7" s="65">
        <v>0.5</v>
      </c>
      <c r="G7" s="71">
        <v>40000</v>
      </c>
      <c r="H7" s="71">
        <f t="shared" si="0"/>
        <v>20000</v>
      </c>
      <c r="I7" s="221"/>
      <c r="J7" s="33"/>
      <c r="K7" s="30"/>
      <c r="L7" s="30"/>
    </row>
    <row r="8" spans="1:15" ht="18.75" customHeight="1" thickBot="1">
      <c r="A8" s="225"/>
      <c r="B8" s="44">
        <v>4</v>
      </c>
      <c r="C8" s="82" t="s">
        <v>49</v>
      </c>
      <c r="D8" s="42"/>
      <c r="E8" s="68" t="s">
        <v>26</v>
      </c>
      <c r="F8" s="65">
        <v>0.5</v>
      </c>
      <c r="G8" s="71">
        <v>25000</v>
      </c>
      <c r="H8" s="71">
        <f t="shared" si="0"/>
        <v>12500</v>
      </c>
      <c r="I8" s="221"/>
      <c r="J8" s="33"/>
      <c r="K8" s="81"/>
      <c r="L8" s="81"/>
    </row>
    <row r="9" spans="1:15" ht="18.75" customHeight="1" thickBot="1">
      <c r="A9" s="225"/>
      <c r="B9" s="44">
        <v>5</v>
      </c>
      <c r="C9" s="82" t="s">
        <v>48</v>
      </c>
      <c r="D9" s="42"/>
      <c r="E9" s="68" t="s">
        <v>24</v>
      </c>
      <c r="F9" s="65">
        <v>0.5</v>
      </c>
      <c r="G9" s="71">
        <v>25000</v>
      </c>
      <c r="H9" s="71">
        <f t="shared" si="0"/>
        <v>12500</v>
      </c>
      <c r="I9" s="221"/>
      <c r="J9" s="33"/>
      <c r="K9" s="81"/>
      <c r="L9" s="81"/>
    </row>
    <row r="10" spans="1:15" ht="18.75" customHeight="1" thickBot="1">
      <c r="A10" s="225"/>
      <c r="B10" s="44">
        <v>7</v>
      </c>
      <c r="C10" s="82" t="s">
        <v>36</v>
      </c>
      <c r="D10" s="42"/>
      <c r="E10" s="68" t="s">
        <v>44</v>
      </c>
      <c r="F10" s="65">
        <v>1</v>
      </c>
      <c r="G10" s="71">
        <v>15000</v>
      </c>
      <c r="H10" s="71">
        <f t="shared" si="0"/>
        <v>15000</v>
      </c>
      <c r="I10" s="221"/>
      <c r="J10" s="33"/>
      <c r="K10" s="81"/>
      <c r="L10" s="81"/>
    </row>
    <row r="11" spans="1:15" ht="18.75" customHeight="1" thickBot="1">
      <c r="A11" s="225"/>
      <c r="B11" s="44">
        <v>8</v>
      </c>
      <c r="C11" s="82" t="s">
        <v>47</v>
      </c>
      <c r="D11" s="42"/>
      <c r="E11" s="68" t="s">
        <v>46</v>
      </c>
      <c r="F11" s="65">
        <v>1</v>
      </c>
      <c r="G11" s="71">
        <v>17000</v>
      </c>
      <c r="H11" s="71">
        <f t="shared" si="0"/>
        <v>17000</v>
      </c>
      <c r="I11" s="221"/>
      <c r="J11" s="33"/>
      <c r="K11" s="81"/>
      <c r="L11" s="81"/>
    </row>
    <row r="12" spans="1:15" ht="18.75" customHeight="1" thickBot="1">
      <c r="A12" s="225"/>
      <c r="B12" s="44">
        <v>9</v>
      </c>
      <c r="C12" s="82" t="s">
        <v>45</v>
      </c>
      <c r="D12" s="42"/>
      <c r="E12" s="68" t="s">
        <v>44</v>
      </c>
      <c r="F12" s="65">
        <v>1</v>
      </c>
      <c r="G12" s="71">
        <v>13000</v>
      </c>
      <c r="H12" s="71">
        <f t="shared" si="0"/>
        <v>13000</v>
      </c>
      <c r="I12" s="221"/>
      <c r="J12" s="33"/>
      <c r="K12" s="81"/>
      <c r="L12" s="81"/>
    </row>
    <row r="13" spans="1:15" ht="18.75" customHeight="1" thickBot="1">
      <c r="A13" s="225"/>
      <c r="B13" s="44">
        <v>10</v>
      </c>
      <c r="C13" s="66" t="s">
        <v>20</v>
      </c>
      <c r="D13" s="42"/>
      <c r="E13" s="68" t="s">
        <v>44</v>
      </c>
      <c r="F13" s="65">
        <v>1</v>
      </c>
      <c r="G13" s="71">
        <f>ROUND(SUM(H5:H12)*0.08,0)+133</f>
        <v>11333</v>
      </c>
      <c r="H13" s="71">
        <f t="shared" si="0"/>
        <v>11333</v>
      </c>
      <c r="I13" s="221"/>
      <c r="J13" s="33"/>
      <c r="K13" s="81"/>
      <c r="L13" s="81"/>
    </row>
    <row r="14" spans="1:15" ht="30" customHeight="1" thickBot="1">
      <c r="A14" s="225" t="s">
        <v>43</v>
      </c>
      <c r="B14" s="80" t="s">
        <v>42</v>
      </c>
      <c r="C14" s="79" t="s">
        <v>41</v>
      </c>
      <c r="D14" s="78"/>
      <c r="E14" s="78" t="s">
        <v>13</v>
      </c>
      <c r="F14" s="77">
        <v>1</v>
      </c>
      <c r="G14" s="76"/>
      <c r="H14" s="76">
        <f>SUM(H15:H21)</f>
        <v>681000</v>
      </c>
      <c r="I14" s="221" t="s">
        <v>40</v>
      </c>
      <c r="J14" s="75" t="e">
        <f>O26</f>
        <v>#REF!</v>
      </c>
      <c r="K14" s="73" t="e">
        <f>J14-H14</f>
        <v>#REF!</v>
      </c>
      <c r="L14" s="73"/>
    </row>
    <row r="15" spans="1:15" ht="18.75" customHeight="1" thickBot="1">
      <c r="A15" s="225"/>
      <c r="B15" s="44">
        <v>1</v>
      </c>
      <c r="C15" s="67" t="s">
        <v>39</v>
      </c>
      <c r="D15" s="42"/>
      <c r="E15" s="68" t="s">
        <v>26</v>
      </c>
      <c r="F15" s="65">
        <v>2</v>
      </c>
      <c r="G15" s="71">
        <v>40000</v>
      </c>
      <c r="H15" s="71">
        <f t="shared" ref="H15:H21" si="1">F15*G15</f>
        <v>80000</v>
      </c>
      <c r="I15" s="221"/>
      <c r="J15" s="33"/>
      <c r="K15" s="30"/>
      <c r="L15" s="30"/>
      <c r="O15" s="74"/>
    </row>
    <row r="16" spans="1:15" ht="18.75" customHeight="1" thickBot="1">
      <c r="A16" s="225"/>
      <c r="B16" s="44">
        <v>2</v>
      </c>
      <c r="C16" s="67" t="s">
        <v>27</v>
      </c>
      <c r="D16" s="42"/>
      <c r="E16" s="68" t="s">
        <v>38</v>
      </c>
      <c r="F16" s="65">
        <v>2</v>
      </c>
      <c r="G16" s="71">
        <v>40000</v>
      </c>
      <c r="H16" s="71">
        <f t="shared" si="1"/>
        <v>80000</v>
      </c>
      <c r="I16" s="221"/>
      <c r="J16" s="33"/>
      <c r="K16" s="30"/>
      <c r="L16" s="30"/>
    </row>
    <row r="17" spans="1:15" ht="18.75" customHeight="1" thickBot="1">
      <c r="A17" s="225"/>
      <c r="B17" s="44">
        <v>3</v>
      </c>
      <c r="C17" s="67" t="s">
        <v>37</v>
      </c>
      <c r="D17" s="42"/>
      <c r="E17" s="68" t="s">
        <v>24</v>
      </c>
      <c r="F17" s="65">
        <v>4</v>
      </c>
      <c r="G17" s="71">
        <v>30000</v>
      </c>
      <c r="H17" s="71">
        <f t="shared" si="1"/>
        <v>120000</v>
      </c>
      <c r="I17" s="221"/>
      <c r="J17" s="33"/>
      <c r="K17" s="30"/>
      <c r="L17" s="30"/>
    </row>
    <row r="18" spans="1:15" ht="18.75" customHeight="1" thickBot="1">
      <c r="A18" s="225"/>
      <c r="B18" s="44">
        <v>5</v>
      </c>
      <c r="C18" s="67" t="s">
        <v>36</v>
      </c>
      <c r="D18" s="42"/>
      <c r="E18" s="42" t="s">
        <v>19</v>
      </c>
      <c r="F18" s="65">
        <v>1</v>
      </c>
      <c r="G18" s="71">
        <v>110000</v>
      </c>
      <c r="H18" s="71">
        <f t="shared" si="1"/>
        <v>110000</v>
      </c>
      <c r="I18" s="221"/>
      <c r="J18" s="33"/>
      <c r="K18" s="30"/>
      <c r="L18" s="30"/>
    </row>
    <row r="19" spans="1:15" ht="18.75" customHeight="1" thickBot="1">
      <c r="A19" s="225"/>
      <c r="B19" s="44">
        <v>6</v>
      </c>
      <c r="C19" s="67" t="s">
        <v>35</v>
      </c>
      <c r="D19" s="42"/>
      <c r="E19" s="42" t="s">
        <v>19</v>
      </c>
      <c r="F19" s="65">
        <v>1</v>
      </c>
      <c r="G19" s="71">
        <v>120000</v>
      </c>
      <c r="H19" s="71">
        <f t="shared" si="1"/>
        <v>120000</v>
      </c>
      <c r="I19" s="221"/>
      <c r="J19" s="33"/>
      <c r="K19" s="30"/>
      <c r="L19" s="30"/>
    </row>
    <row r="20" spans="1:15" ht="18.75" customHeight="1" thickBot="1">
      <c r="A20" s="225"/>
      <c r="B20" s="44">
        <v>7</v>
      </c>
      <c r="C20" s="67" t="s">
        <v>34</v>
      </c>
      <c r="D20" s="42"/>
      <c r="E20" s="42" t="s">
        <v>19</v>
      </c>
      <c r="F20" s="65">
        <v>1</v>
      </c>
      <c r="G20" s="71">
        <v>118000</v>
      </c>
      <c r="H20" s="71">
        <f t="shared" si="1"/>
        <v>118000</v>
      </c>
      <c r="I20" s="221"/>
      <c r="J20" s="33"/>
      <c r="K20" s="30"/>
      <c r="L20" s="30"/>
    </row>
    <row r="21" spans="1:15" ht="18.75" customHeight="1" thickBot="1">
      <c r="A21" s="225"/>
      <c r="B21" s="44">
        <v>8</v>
      </c>
      <c r="C21" s="66" t="s">
        <v>33</v>
      </c>
      <c r="D21" s="42"/>
      <c r="E21" s="42" t="s">
        <v>19</v>
      </c>
      <c r="F21" s="65">
        <v>1</v>
      </c>
      <c r="G21" s="71">
        <f>ROUND(SUM(H15:H20)*0.08,0)+2760</f>
        <v>53000</v>
      </c>
      <c r="H21" s="71">
        <f t="shared" si="1"/>
        <v>53000</v>
      </c>
      <c r="I21" s="221"/>
      <c r="J21" s="33"/>
      <c r="K21" s="30"/>
      <c r="L21" s="30"/>
    </row>
    <row r="22" spans="1:15" ht="18.75" customHeight="1">
      <c r="A22" s="213" t="s">
        <v>32</v>
      </c>
      <c r="B22" s="57" t="s">
        <v>31</v>
      </c>
      <c r="C22" s="56" t="s">
        <v>30</v>
      </c>
      <c r="D22" s="55"/>
      <c r="E22" s="55" t="s">
        <v>13</v>
      </c>
      <c r="F22" s="54">
        <v>1</v>
      </c>
      <c r="G22" s="52"/>
      <c r="H22" s="52">
        <f>H29</f>
        <v>681000</v>
      </c>
      <c r="I22" s="219" t="s">
        <v>29</v>
      </c>
      <c r="J22" s="70" t="e">
        <f>O27</f>
        <v>#REF!</v>
      </c>
      <c r="K22" s="73" t="e">
        <f>H22-J22</f>
        <v>#REF!</v>
      </c>
      <c r="L22" s="72"/>
    </row>
    <row r="23" spans="1:15" ht="18.75" customHeight="1">
      <c r="A23" s="214"/>
      <c r="B23" s="44">
        <v>1</v>
      </c>
      <c r="C23" s="67" t="s">
        <v>28</v>
      </c>
      <c r="D23" s="42"/>
      <c r="E23" s="68" t="s">
        <v>24</v>
      </c>
      <c r="F23" s="65">
        <v>2</v>
      </c>
      <c r="G23" s="71">
        <f>G15</f>
        <v>40000</v>
      </c>
      <c r="H23" s="71">
        <f>F23*G23</f>
        <v>80000</v>
      </c>
      <c r="I23" s="219"/>
      <c r="J23" s="70"/>
      <c r="K23" s="30"/>
      <c r="L23" s="30"/>
    </row>
    <row r="24" spans="1:15" ht="18.75" customHeight="1">
      <c r="A24" s="214"/>
      <c r="B24" s="44">
        <v>2</v>
      </c>
      <c r="C24" s="67" t="s">
        <v>27</v>
      </c>
      <c r="D24" s="42"/>
      <c r="E24" s="68" t="s">
        <v>26</v>
      </c>
      <c r="F24" s="65">
        <v>2</v>
      </c>
      <c r="G24" s="71">
        <f>G15</f>
        <v>40000</v>
      </c>
      <c r="H24" s="71">
        <f>F24*G24</f>
        <v>80000</v>
      </c>
      <c r="I24" s="219"/>
      <c r="J24" s="70"/>
      <c r="K24" s="30"/>
      <c r="L24" s="30"/>
      <c r="O24" s="69" t="e">
        <f>#REF!</f>
        <v>#REF!</v>
      </c>
    </row>
    <row r="25" spans="1:15" ht="18.75" customHeight="1">
      <c r="A25" s="214"/>
      <c r="B25" s="44">
        <v>3</v>
      </c>
      <c r="C25" s="43" t="s">
        <v>25</v>
      </c>
      <c r="D25" s="42"/>
      <c r="E25" s="68" t="s">
        <v>24</v>
      </c>
      <c r="F25" s="65">
        <v>6.2</v>
      </c>
      <c r="G25" s="64">
        <v>45000</v>
      </c>
      <c r="H25" s="64">
        <f>G25*F25</f>
        <v>279000</v>
      </c>
      <c r="I25" s="219"/>
      <c r="J25" s="31"/>
      <c r="K25" s="30"/>
      <c r="L25" s="30"/>
      <c r="N25" s="23" t="s">
        <v>23</v>
      </c>
      <c r="O25" s="23" t="e">
        <f>ROUND(O24/1.05,0)</f>
        <v>#REF!</v>
      </c>
    </row>
    <row r="26" spans="1:15" ht="18.75" customHeight="1">
      <c r="A26" s="214"/>
      <c r="B26" s="44">
        <v>4</v>
      </c>
      <c r="C26" s="43" t="s">
        <v>22</v>
      </c>
      <c r="D26" s="42"/>
      <c r="E26" s="42" t="s">
        <v>19</v>
      </c>
      <c r="F26" s="65">
        <v>1</v>
      </c>
      <c r="G26" s="64">
        <v>100000</v>
      </c>
      <c r="H26" s="64">
        <f>G26*F26</f>
        <v>100000</v>
      </c>
      <c r="I26" s="219"/>
      <c r="J26" s="31"/>
      <c r="K26" s="30"/>
      <c r="L26" s="30"/>
      <c r="N26" s="23">
        <v>0.45</v>
      </c>
      <c r="O26" s="23" t="e">
        <f>ROUND(O25*N26,0)</f>
        <v>#REF!</v>
      </c>
    </row>
    <row r="27" spans="1:15" ht="18.75" customHeight="1">
      <c r="A27" s="214"/>
      <c r="B27" s="44">
        <v>5</v>
      </c>
      <c r="C27" s="67" t="s">
        <v>21</v>
      </c>
      <c r="D27" s="42"/>
      <c r="E27" s="42" t="s">
        <v>19</v>
      </c>
      <c r="F27" s="65">
        <v>1</v>
      </c>
      <c r="G27" s="64">
        <v>92000</v>
      </c>
      <c r="H27" s="64">
        <f>G27*F27</f>
        <v>92000</v>
      </c>
      <c r="I27" s="219"/>
      <c r="J27" s="31"/>
      <c r="K27" s="30"/>
      <c r="L27" s="30"/>
      <c r="N27" s="23">
        <v>0.45</v>
      </c>
      <c r="O27" s="23" t="e">
        <f>O26</f>
        <v>#REF!</v>
      </c>
    </row>
    <row r="28" spans="1:15" ht="18.75" customHeight="1">
      <c r="A28" s="214"/>
      <c r="B28" s="44">
        <v>6</v>
      </c>
      <c r="C28" s="66" t="s">
        <v>20</v>
      </c>
      <c r="D28" s="42"/>
      <c r="E28" s="42" t="s">
        <v>19</v>
      </c>
      <c r="F28" s="65">
        <v>1</v>
      </c>
      <c r="G28" s="64">
        <f>ROUND(SUM(H23:H27)*0.08,0)-480</f>
        <v>50000</v>
      </c>
      <c r="H28" s="64">
        <f>G28*F28</f>
        <v>50000</v>
      </c>
      <c r="I28" s="219"/>
      <c r="J28" s="31"/>
      <c r="K28" s="30"/>
      <c r="L28" s="30"/>
      <c r="N28" s="23">
        <v>0.1</v>
      </c>
      <c r="O28" s="23" t="e">
        <f>O25-O26-O27</f>
        <v>#REF!</v>
      </c>
    </row>
    <row r="29" spans="1:15" ht="18.75" customHeight="1" thickBot="1">
      <c r="A29" s="215"/>
      <c r="B29" s="63"/>
      <c r="C29" s="62" t="s">
        <v>18</v>
      </c>
      <c r="D29" s="61"/>
      <c r="E29" s="61"/>
      <c r="F29" s="60"/>
      <c r="G29" s="59"/>
      <c r="H29" s="58">
        <f>SUM(H23:H28)</f>
        <v>681000</v>
      </c>
      <c r="I29" s="220"/>
      <c r="J29" s="31"/>
      <c r="K29" s="30"/>
      <c r="L29" s="30"/>
    </row>
    <row r="30" spans="1:15" ht="18.75" customHeight="1">
      <c r="A30" s="216"/>
      <c r="B30" s="57" t="s">
        <v>17</v>
      </c>
      <c r="C30" s="56" t="s">
        <v>16</v>
      </c>
      <c r="D30" s="55"/>
      <c r="E30" s="55" t="s">
        <v>13</v>
      </c>
      <c r="F30" s="54">
        <v>1</v>
      </c>
      <c r="G30" s="53"/>
      <c r="H30" s="52">
        <f>ROUND(SUM(H4+H14+H22)*0.05,0)</f>
        <v>75667</v>
      </c>
      <c r="I30" s="51"/>
      <c r="J30" s="50"/>
      <c r="K30" s="30"/>
      <c r="L30" s="30"/>
    </row>
    <row r="31" spans="1:15" ht="18.75" customHeight="1">
      <c r="A31" s="217"/>
      <c r="B31" s="49" t="s">
        <v>15</v>
      </c>
      <c r="C31" s="48" t="s">
        <v>14</v>
      </c>
      <c r="D31" s="47"/>
      <c r="E31" s="47" t="s">
        <v>13</v>
      </c>
      <c r="F31" s="46">
        <v>1</v>
      </c>
      <c r="G31" s="209" t="s">
        <v>12</v>
      </c>
      <c r="H31" s="209"/>
      <c r="I31" s="210"/>
      <c r="J31" s="45"/>
      <c r="K31" s="30"/>
      <c r="L31" s="30"/>
    </row>
    <row r="32" spans="1:15" ht="18.75" customHeight="1">
      <c r="A32" s="217"/>
      <c r="B32" s="44"/>
      <c r="C32" s="43" t="s">
        <v>11</v>
      </c>
      <c r="D32" s="42"/>
      <c r="E32" s="42"/>
      <c r="F32" s="41"/>
      <c r="G32" s="40"/>
      <c r="H32" s="39">
        <f>H30+H29+H14+H4</f>
        <v>1589000</v>
      </c>
      <c r="I32" s="38"/>
      <c r="J32" s="37" t="e">
        <f>#REF!</f>
        <v>#REF!</v>
      </c>
      <c r="K32" s="30" t="e">
        <f>J32*56%</f>
        <v>#REF!</v>
      </c>
      <c r="L32" s="30"/>
    </row>
    <row r="33" spans="1:12" ht="18.75" customHeight="1" thickBot="1">
      <c r="A33" s="218"/>
      <c r="B33" s="36"/>
      <c r="C33" s="35" t="s">
        <v>10</v>
      </c>
      <c r="D33" s="223" t="s">
        <v>9</v>
      </c>
      <c r="E33" s="224"/>
      <c r="F33" s="222">
        <f>H32</f>
        <v>1589000</v>
      </c>
      <c r="G33" s="222"/>
      <c r="H33" s="222"/>
      <c r="I33" s="34" t="s">
        <v>8</v>
      </c>
      <c r="J33" s="33"/>
      <c r="K33" s="30"/>
      <c r="L33" s="30"/>
    </row>
    <row r="34" spans="1:12">
      <c r="B34" s="31"/>
      <c r="C34" s="30"/>
      <c r="D34" s="31"/>
      <c r="E34" s="31"/>
      <c r="F34" s="32"/>
      <c r="G34" s="31"/>
      <c r="H34" s="31"/>
      <c r="I34" s="31"/>
      <c r="J34" s="33" t="e">
        <f>H32-J32</f>
        <v>#REF!</v>
      </c>
      <c r="K34" s="30"/>
      <c r="L34" s="30"/>
    </row>
    <row r="35" spans="1:12">
      <c r="B35" s="31"/>
      <c r="C35" s="30"/>
      <c r="D35" s="31"/>
      <c r="E35" s="31"/>
      <c r="F35" s="32"/>
      <c r="G35" s="31"/>
      <c r="H35" s="31"/>
      <c r="I35" s="31"/>
      <c r="J35" s="31"/>
      <c r="K35" s="30"/>
      <c r="L35" s="30"/>
    </row>
    <row r="36" spans="1:12">
      <c r="B36" s="31"/>
      <c r="C36" s="30"/>
      <c r="D36" s="31"/>
      <c r="E36" s="31"/>
      <c r="F36" s="32"/>
      <c r="G36" s="31"/>
      <c r="H36" s="31"/>
      <c r="I36" s="31"/>
      <c r="J36" s="31"/>
      <c r="K36" s="30"/>
      <c r="L36" s="30"/>
    </row>
    <row r="37" spans="1:12">
      <c r="B37" s="31"/>
      <c r="C37" s="30"/>
      <c r="D37" s="31"/>
      <c r="E37" s="31"/>
      <c r="F37" s="32"/>
      <c r="G37" s="31"/>
      <c r="H37" s="31"/>
      <c r="I37" s="31"/>
      <c r="J37" s="31"/>
      <c r="K37" s="30"/>
      <c r="L37" s="30"/>
    </row>
    <row r="38" spans="1:12">
      <c r="J38" s="29"/>
    </row>
    <row r="40" spans="1:12">
      <c r="F40" s="23"/>
    </row>
    <row r="41" spans="1:12" ht="16.5">
      <c r="C41" s="29">
        <f>H32</f>
        <v>1589000</v>
      </c>
      <c r="F41" s="28"/>
      <c r="G41" s="25"/>
      <c r="H41" s="25"/>
    </row>
    <row r="42" spans="1:12">
      <c r="F42" s="26"/>
      <c r="G42" s="25"/>
    </row>
    <row r="43" spans="1:12">
      <c r="F43" s="27"/>
      <c r="G43" s="25"/>
    </row>
    <row r="44" spans="1:12">
      <c r="F44" s="26"/>
      <c r="G44" s="25"/>
    </row>
    <row r="45" spans="1:12">
      <c r="F45" s="26"/>
      <c r="G45" s="25"/>
    </row>
    <row r="46" spans="1:12">
      <c r="F46" s="26"/>
      <c r="G46" s="25"/>
    </row>
  </sheetData>
  <mergeCells count="12">
    <mergeCell ref="B1:I1"/>
    <mergeCell ref="G31:I31"/>
    <mergeCell ref="A3:B3"/>
    <mergeCell ref="A22:A29"/>
    <mergeCell ref="A30:A33"/>
    <mergeCell ref="I22:I29"/>
    <mergeCell ref="I4:I13"/>
    <mergeCell ref="F33:H33"/>
    <mergeCell ref="D33:E33"/>
    <mergeCell ref="I14:I21"/>
    <mergeCell ref="A4:A13"/>
    <mergeCell ref="A14:A21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2F31-0AB0-4754-BDC4-22534FB80B4E}">
  <sheetPr>
    <pageSetUpPr fitToPage="1"/>
  </sheetPr>
  <dimension ref="A1:S47"/>
  <sheetViews>
    <sheetView tabSelected="1" zoomScaleNormal="100" workbookViewId="0">
      <selection sqref="A1:G41"/>
    </sheetView>
  </sheetViews>
  <sheetFormatPr defaultRowHeight="15.75"/>
  <cols>
    <col min="1" max="1" width="5.21875" style="190" customWidth="1"/>
    <col min="2" max="2" width="48.77734375" style="190" bestFit="1" customWidth="1"/>
    <col min="3" max="3" width="6.88671875" style="190" customWidth="1"/>
    <col min="4" max="4" width="10.6640625" style="190" customWidth="1"/>
    <col min="5" max="5" width="13.5546875" style="190" customWidth="1"/>
    <col min="6" max="6" width="13.6640625" style="190" customWidth="1"/>
    <col min="7" max="7" width="23.44140625" style="190" customWidth="1"/>
    <col min="8" max="8" width="17.5546875" style="190" bestFit="1" customWidth="1"/>
    <col min="9" max="9" width="10.5546875" style="190" bestFit="1" customWidth="1"/>
    <col min="10" max="16384" width="8.88671875" style="190"/>
  </cols>
  <sheetData>
    <row r="1" spans="1:19" ht="30" customHeight="1">
      <c r="A1" s="278" t="s">
        <v>277</v>
      </c>
      <c r="B1" s="278" t="s">
        <v>278</v>
      </c>
      <c r="C1" s="278" t="s">
        <v>279</v>
      </c>
      <c r="D1" s="278" t="s">
        <v>280</v>
      </c>
      <c r="E1" s="278" t="s">
        <v>281</v>
      </c>
      <c r="F1" s="278" t="s">
        <v>282</v>
      </c>
      <c r="G1" s="279" t="s">
        <v>283</v>
      </c>
    </row>
    <row r="2" spans="1:19" ht="27" customHeight="1">
      <c r="A2" s="253" t="s">
        <v>284</v>
      </c>
      <c r="B2" s="241" t="s">
        <v>217</v>
      </c>
      <c r="C2" s="241"/>
      <c r="D2" s="241"/>
      <c r="E2" s="241"/>
      <c r="F2" s="241"/>
      <c r="G2" s="241"/>
    </row>
    <row r="3" spans="1:19" ht="23.25" customHeight="1">
      <c r="A3" s="276" t="s">
        <v>246</v>
      </c>
      <c r="B3" s="242" t="s">
        <v>245</v>
      </c>
      <c r="C3" s="243"/>
      <c r="D3" s="244"/>
      <c r="E3" s="244"/>
      <c r="F3" s="244"/>
      <c r="G3" s="242"/>
    </row>
    <row r="4" spans="1:19" ht="23.25" customHeight="1">
      <c r="A4" s="277" t="s">
        <v>216</v>
      </c>
      <c r="B4" s="242" t="s">
        <v>228</v>
      </c>
      <c r="C4" s="243" t="s">
        <v>222</v>
      </c>
      <c r="D4" s="244">
        <v>143</v>
      </c>
      <c r="E4" s="244">
        <v>780</v>
      </c>
      <c r="F4" s="244">
        <f>ROUND(D4*E4,2)</f>
        <v>111540</v>
      </c>
      <c r="G4" s="242"/>
      <c r="N4" s="190">
        <f>130*3.5</f>
        <v>455</v>
      </c>
      <c r="O4" s="190">
        <f>346*5</f>
        <v>1730</v>
      </c>
      <c r="P4" s="190">
        <f>196*5.6</f>
        <v>1097.5999999999999</v>
      </c>
      <c r="Q4" s="190">
        <f>342*3.3</f>
        <v>1128.5999999999999</v>
      </c>
      <c r="R4" s="190">
        <f>230*3.3</f>
        <v>759</v>
      </c>
      <c r="S4" s="190">
        <f>498*4.2</f>
        <v>2091.6</v>
      </c>
    </row>
    <row r="5" spans="1:19" ht="23.25" customHeight="1">
      <c r="A5" s="277">
        <v>2</v>
      </c>
      <c r="B5" s="242" t="s">
        <v>248</v>
      </c>
      <c r="C5" s="243" t="s">
        <v>247</v>
      </c>
      <c r="D5" s="244">
        <v>1</v>
      </c>
      <c r="E5" s="244">
        <v>60000</v>
      </c>
      <c r="F5" s="244">
        <f>ROUND(D5*E5,2)</f>
        <v>60000</v>
      </c>
      <c r="G5" s="242"/>
    </row>
    <row r="6" spans="1:19" s="195" customFormat="1" ht="23.25" customHeight="1">
      <c r="A6" s="277">
        <v>3</v>
      </c>
      <c r="B6" s="242" t="s">
        <v>252</v>
      </c>
      <c r="C6" s="243" t="s">
        <v>223</v>
      </c>
      <c r="D6" s="244">
        <v>1</v>
      </c>
      <c r="E6" s="244">
        <v>8000</v>
      </c>
      <c r="F6" s="244">
        <f>ROUND(D6*E6,2)</f>
        <v>8000</v>
      </c>
      <c r="G6" s="242"/>
      <c r="H6" s="196">
        <f>0.27+0.73</f>
        <v>1</v>
      </c>
    </row>
    <row r="7" spans="1:19" s="195" customFormat="1" ht="23.25" customHeight="1">
      <c r="A7" s="277">
        <v>4</v>
      </c>
      <c r="B7" s="242" t="s">
        <v>225</v>
      </c>
      <c r="C7" s="243" t="s">
        <v>226</v>
      </c>
      <c r="D7" s="244">
        <v>38</v>
      </c>
      <c r="E7" s="244">
        <v>180</v>
      </c>
      <c r="F7" s="244">
        <f t="shared" ref="F7:F13" si="0">E7*D7</f>
        <v>6840</v>
      </c>
      <c r="G7" s="242"/>
      <c r="H7" s="196"/>
    </row>
    <row r="8" spans="1:19" s="195" customFormat="1" ht="23.25" customHeight="1">
      <c r="A8" s="277">
        <v>5</v>
      </c>
      <c r="B8" s="242" t="s">
        <v>236</v>
      </c>
      <c r="C8" s="243" t="s">
        <v>222</v>
      </c>
      <c r="D8" s="244">
        <v>96</v>
      </c>
      <c r="E8" s="244">
        <v>1300</v>
      </c>
      <c r="F8" s="244">
        <f t="shared" si="0"/>
        <v>124800</v>
      </c>
      <c r="G8" s="242" t="s">
        <v>240</v>
      </c>
      <c r="H8" s="197"/>
    </row>
    <row r="9" spans="1:19" s="195" customFormat="1" ht="23.25" customHeight="1">
      <c r="A9" s="277">
        <v>6</v>
      </c>
      <c r="B9" s="242" t="s">
        <v>239</v>
      </c>
      <c r="C9" s="243" t="s">
        <v>227</v>
      </c>
      <c r="D9" s="244">
        <v>96</v>
      </c>
      <c r="E9" s="244">
        <v>1200</v>
      </c>
      <c r="F9" s="244">
        <f t="shared" si="0"/>
        <v>115200</v>
      </c>
      <c r="G9" s="242"/>
      <c r="H9" s="197"/>
    </row>
    <row r="10" spans="1:19" s="195" customFormat="1" ht="23.25" customHeight="1">
      <c r="A10" s="277">
        <v>7</v>
      </c>
      <c r="B10" s="242" t="s">
        <v>263</v>
      </c>
      <c r="C10" s="243" t="s">
        <v>227</v>
      </c>
      <c r="D10" s="244">
        <v>45</v>
      </c>
      <c r="E10" s="244">
        <v>3800</v>
      </c>
      <c r="F10" s="244">
        <f t="shared" si="0"/>
        <v>171000</v>
      </c>
      <c r="G10" s="242" t="s">
        <v>232</v>
      </c>
      <c r="H10" s="197"/>
    </row>
    <row r="11" spans="1:19" s="195" customFormat="1" ht="23.25" customHeight="1">
      <c r="A11" s="277">
        <v>8</v>
      </c>
      <c r="B11" s="242" t="s">
        <v>249</v>
      </c>
      <c r="C11" s="243" t="s">
        <v>224</v>
      </c>
      <c r="D11" s="244">
        <v>1</v>
      </c>
      <c r="E11" s="244">
        <v>60000</v>
      </c>
      <c r="F11" s="244">
        <f t="shared" si="0"/>
        <v>60000</v>
      </c>
      <c r="G11" s="242"/>
      <c r="H11" s="197"/>
    </row>
    <row r="12" spans="1:19" s="195" customFormat="1" ht="23.25" customHeight="1">
      <c r="A12" s="277">
        <v>9</v>
      </c>
      <c r="B12" s="242" t="s">
        <v>229</v>
      </c>
      <c r="C12" s="243" t="s">
        <v>230</v>
      </c>
      <c r="D12" s="244">
        <v>9</v>
      </c>
      <c r="E12" s="244">
        <v>12000</v>
      </c>
      <c r="F12" s="244">
        <f t="shared" si="0"/>
        <v>108000</v>
      </c>
      <c r="G12" s="242"/>
      <c r="H12" s="197"/>
    </row>
    <row r="13" spans="1:19" s="195" customFormat="1" ht="23.25" customHeight="1">
      <c r="A13" s="277">
        <v>10</v>
      </c>
      <c r="B13" s="242" t="s">
        <v>250</v>
      </c>
      <c r="C13" s="243" t="s">
        <v>231</v>
      </c>
      <c r="D13" s="244">
        <v>1</v>
      </c>
      <c r="E13" s="244">
        <v>38000</v>
      </c>
      <c r="F13" s="244">
        <f t="shared" si="0"/>
        <v>38000</v>
      </c>
      <c r="G13" s="242" t="s">
        <v>233</v>
      </c>
      <c r="H13" s="197"/>
    </row>
    <row r="14" spans="1:19" s="195" customFormat="1" ht="33.75" customHeight="1">
      <c r="A14" s="277">
        <v>11</v>
      </c>
      <c r="B14" s="245" t="s">
        <v>251</v>
      </c>
      <c r="C14" s="243" t="s">
        <v>223</v>
      </c>
      <c r="D14" s="244">
        <v>1</v>
      </c>
      <c r="E14" s="244">
        <v>50000</v>
      </c>
      <c r="F14" s="244">
        <f>E14*D14</f>
        <v>50000</v>
      </c>
      <c r="G14" s="242"/>
      <c r="H14" s="197"/>
    </row>
    <row r="15" spans="1:19" s="195" customFormat="1" ht="23.25" customHeight="1">
      <c r="A15" s="277">
        <v>12</v>
      </c>
      <c r="B15" s="245" t="s">
        <v>253</v>
      </c>
      <c r="C15" s="243" t="s">
        <v>68</v>
      </c>
      <c r="D15" s="244">
        <v>11</v>
      </c>
      <c r="E15" s="244">
        <v>3000</v>
      </c>
      <c r="F15" s="244">
        <f>E15*D15</f>
        <v>33000</v>
      </c>
      <c r="G15" s="242"/>
      <c r="H15" s="197"/>
    </row>
    <row r="16" spans="1:19" ht="23.25" customHeight="1">
      <c r="A16" s="261"/>
      <c r="B16" s="263" t="s">
        <v>257</v>
      </c>
      <c r="C16" s="263" t="s">
        <v>254</v>
      </c>
      <c r="D16" s="264">
        <v>2</v>
      </c>
      <c r="E16" s="265">
        <f>SUM(F4:F15)</f>
        <v>886380</v>
      </c>
      <c r="F16" s="262">
        <f>E16*D16</f>
        <v>1772760</v>
      </c>
      <c r="G16" s="266" t="s">
        <v>259</v>
      </c>
    </row>
    <row r="17" spans="1:14" ht="23.25" customHeight="1">
      <c r="A17" s="276" t="s">
        <v>256</v>
      </c>
      <c r="B17" s="268" t="s">
        <v>255</v>
      </c>
      <c r="C17" s="243"/>
      <c r="D17" s="244"/>
      <c r="E17" s="244"/>
      <c r="F17" s="244"/>
      <c r="G17" s="242"/>
    </row>
    <row r="18" spans="1:14" ht="23.25" customHeight="1">
      <c r="A18" s="277" t="s">
        <v>216</v>
      </c>
      <c r="B18" s="242" t="s">
        <v>228</v>
      </c>
      <c r="C18" s="243" t="s">
        <v>222</v>
      </c>
      <c r="D18" s="244">
        <v>143</v>
      </c>
      <c r="E18" s="244">
        <v>780</v>
      </c>
      <c r="F18" s="244">
        <f>ROUND(D18*E18,2)</f>
        <v>111540</v>
      </c>
      <c r="G18" s="242"/>
    </row>
    <row r="19" spans="1:14" s="195" customFormat="1" ht="23.25" customHeight="1">
      <c r="A19" s="277">
        <v>2</v>
      </c>
      <c r="B19" s="242" t="s">
        <v>248</v>
      </c>
      <c r="C19" s="243" t="s">
        <v>247</v>
      </c>
      <c r="D19" s="244">
        <v>1</v>
      </c>
      <c r="E19" s="244">
        <v>60000</v>
      </c>
      <c r="F19" s="244">
        <f>ROUND(D19*E19,2)</f>
        <v>60000</v>
      </c>
      <c r="G19" s="242"/>
    </row>
    <row r="20" spans="1:14" s="195" customFormat="1" ht="23.25" customHeight="1">
      <c r="A20" s="277">
        <v>3</v>
      </c>
      <c r="B20" s="242" t="s">
        <v>252</v>
      </c>
      <c r="C20" s="243" t="s">
        <v>223</v>
      </c>
      <c r="D20" s="244">
        <v>1</v>
      </c>
      <c r="E20" s="244">
        <v>8000</v>
      </c>
      <c r="F20" s="244">
        <f>ROUND(D20*E20,2)</f>
        <v>8000</v>
      </c>
      <c r="G20" s="242"/>
    </row>
    <row r="21" spans="1:14" s="195" customFormat="1" ht="23.25" customHeight="1">
      <c r="A21" s="277">
        <v>4</v>
      </c>
      <c r="B21" s="242" t="s">
        <v>225</v>
      </c>
      <c r="C21" s="243" t="s">
        <v>222</v>
      </c>
      <c r="D21" s="244">
        <v>38</v>
      </c>
      <c r="E21" s="244">
        <v>180</v>
      </c>
      <c r="F21" s="244">
        <f t="shared" ref="F21:F27" si="1">E21*D21</f>
        <v>6840</v>
      </c>
      <c r="G21" s="242"/>
    </row>
    <row r="22" spans="1:14" ht="23.25" customHeight="1">
      <c r="A22" s="277">
        <v>5</v>
      </c>
      <c r="B22" s="242" t="s">
        <v>236</v>
      </c>
      <c r="C22" s="243" t="s">
        <v>222</v>
      </c>
      <c r="D22" s="244">
        <v>96</v>
      </c>
      <c r="E22" s="244">
        <v>1300</v>
      </c>
      <c r="F22" s="244">
        <f t="shared" si="1"/>
        <v>124800</v>
      </c>
      <c r="G22" s="242" t="s">
        <v>240</v>
      </c>
    </row>
    <row r="23" spans="1:14" ht="23.25" customHeight="1">
      <c r="A23" s="277">
        <v>6</v>
      </c>
      <c r="B23" s="242" t="s">
        <v>239</v>
      </c>
      <c r="C23" s="243" t="s">
        <v>222</v>
      </c>
      <c r="D23" s="244">
        <v>96</v>
      </c>
      <c r="E23" s="244">
        <v>1200</v>
      </c>
      <c r="F23" s="244">
        <f t="shared" si="1"/>
        <v>115200</v>
      </c>
      <c r="G23" s="242"/>
    </row>
    <row r="24" spans="1:14" ht="23.25" customHeight="1">
      <c r="A24" s="277">
        <v>7</v>
      </c>
      <c r="B24" s="242" t="s">
        <v>263</v>
      </c>
      <c r="C24" s="243" t="s">
        <v>222</v>
      </c>
      <c r="D24" s="244">
        <v>48</v>
      </c>
      <c r="E24" s="244">
        <v>3800</v>
      </c>
      <c r="F24" s="244">
        <f t="shared" si="1"/>
        <v>182400</v>
      </c>
      <c r="G24" s="242" t="s">
        <v>232</v>
      </c>
    </row>
    <row r="25" spans="1:14" ht="23.25" customHeight="1" thickBot="1">
      <c r="A25" s="277">
        <v>8</v>
      </c>
      <c r="B25" s="242" t="s">
        <v>249</v>
      </c>
      <c r="C25" s="243" t="s">
        <v>223</v>
      </c>
      <c r="D25" s="244">
        <v>1</v>
      </c>
      <c r="E25" s="244">
        <v>60000</v>
      </c>
      <c r="F25" s="244">
        <f t="shared" si="1"/>
        <v>60000</v>
      </c>
      <c r="G25" s="242"/>
      <c r="H25" s="194"/>
    </row>
    <row r="26" spans="1:14" ht="23.25" customHeight="1">
      <c r="A26" s="277">
        <v>9</v>
      </c>
      <c r="B26" s="242" t="s">
        <v>229</v>
      </c>
      <c r="C26" s="243" t="s">
        <v>230</v>
      </c>
      <c r="D26" s="244">
        <v>6</v>
      </c>
      <c r="E26" s="244">
        <v>12000</v>
      </c>
      <c r="F26" s="244">
        <f t="shared" si="1"/>
        <v>72000</v>
      </c>
      <c r="G26" s="242"/>
      <c r="H26" s="205"/>
    </row>
    <row r="27" spans="1:14" ht="23.25" customHeight="1">
      <c r="A27" s="277">
        <v>10</v>
      </c>
      <c r="B27" s="242" t="s">
        <v>250</v>
      </c>
      <c r="C27" s="243" t="s">
        <v>231</v>
      </c>
      <c r="D27" s="244">
        <v>1</v>
      </c>
      <c r="E27" s="244">
        <v>38000</v>
      </c>
      <c r="F27" s="244">
        <f t="shared" si="1"/>
        <v>38000</v>
      </c>
      <c r="G27" s="242" t="s">
        <v>233</v>
      </c>
      <c r="H27" s="240"/>
      <c r="I27" s="226"/>
      <c r="J27" s="226"/>
      <c r="K27" s="226"/>
      <c r="L27" s="190">
        <f>3.5*180</f>
        <v>630</v>
      </c>
      <c r="M27" s="190">
        <f>SUM(L27:L27)</f>
        <v>630</v>
      </c>
      <c r="N27" s="190">
        <f>925000/M27</f>
        <v>1468.2539682539682</v>
      </c>
    </row>
    <row r="28" spans="1:14" ht="32.25" customHeight="1">
      <c r="A28" s="277">
        <v>11</v>
      </c>
      <c r="B28" s="245" t="s">
        <v>251</v>
      </c>
      <c r="C28" s="243" t="s">
        <v>223</v>
      </c>
      <c r="D28" s="244">
        <v>1</v>
      </c>
      <c r="E28" s="244">
        <v>50000</v>
      </c>
      <c r="F28" s="244">
        <f>E28*D28</f>
        <v>50000</v>
      </c>
      <c r="G28" s="242"/>
      <c r="H28" s="193">
        <v>1525260</v>
      </c>
      <c r="I28" s="192">
        <f>F41-H28</f>
        <v>2804578</v>
      </c>
    </row>
    <row r="29" spans="1:14" ht="23.25" customHeight="1">
      <c r="A29" s="277">
        <v>12</v>
      </c>
      <c r="B29" s="245" t="s">
        <v>253</v>
      </c>
      <c r="C29" s="243" t="s">
        <v>68</v>
      </c>
      <c r="D29" s="244">
        <v>6.8</v>
      </c>
      <c r="E29" s="244">
        <v>3000</v>
      </c>
      <c r="F29" s="244">
        <f>E29*D29</f>
        <v>20400</v>
      </c>
      <c r="G29" s="242"/>
    </row>
    <row r="30" spans="1:14" ht="23.25" customHeight="1">
      <c r="A30" s="267"/>
      <c r="B30" s="263" t="s">
        <v>258</v>
      </c>
      <c r="C30" s="263" t="s">
        <v>254</v>
      </c>
      <c r="D30" s="264">
        <v>2</v>
      </c>
      <c r="E30" s="265">
        <f>SUM(F18:F29)</f>
        <v>849180</v>
      </c>
      <c r="F30" s="262">
        <f>E30*D30</f>
        <v>1698360</v>
      </c>
      <c r="G30" s="266" t="s">
        <v>260</v>
      </c>
    </row>
    <row r="31" spans="1:14" ht="33" customHeight="1">
      <c r="A31" s="280" t="s">
        <v>261</v>
      </c>
      <c r="B31" s="248" t="s">
        <v>262</v>
      </c>
      <c r="C31" s="248"/>
      <c r="D31" s="250"/>
      <c r="E31" s="251"/>
      <c r="F31" s="246">
        <f>F30+F16</f>
        <v>3471120</v>
      </c>
      <c r="G31" s="183"/>
    </row>
    <row r="32" spans="1:14">
      <c r="A32" s="271" t="s">
        <v>264</v>
      </c>
      <c r="B32" s="184" t="s">
        <v>221</v>
      </c>
      <c r="C32" s="248" t="s">
        <v>220</v>
      </c>
      <c r="D32" s="249">
        <v>1</v>
      </c>
      <c r="E32" s="250">
        <f>ROUND(F31*1.2%,0)</f>
        <v>41653</v>
      </c>
      <c r="F32" s="251">
        <f>E32*D32</f>
        <v>41653</v>
      </c>
      <c r="G32" s="183" t="s">
        <v>274</v>
      </c>
    </row>
    <row r="33" spans="1:7">
      <c r="A33" s="271" t="s">
        <v>265</v>
      </c>
      <c r="B33" s="184" t="s">
        <v>215</v>
      </c>
      <c r="C33" s="248" t="s">
        <v>220</v>
      </c>
      <c r="D33" s="249">
        <v>1</v>
      </c>
      <c r="E33" s="249">
        <f>ROUND(F31*0.8%,0)</f>
        <v>27769</v>
      </c>
      <c r="F33" s="251">
        <f t="shared" ref="F33:F36" si="2">ROUND(D33*E33,2)</f>
        <v>27769</v>
      </c>
      <c r="G33" s="184" t="s">
        <v>218</v>
      </c>
    </row>
    <row r="34" spans="1:7">
      <c r="A34" s="271" t="s">
        <v>266</v>
      </c>
      <c r="B34" s="184" t="s">
        <v>275</v>
      </c>
      <c r="C34" s="248" t="s">
        <v>247</v>
      </c>
      <c r="D34" s="249">
        <v>1</v>
      </c>
      <c r="E34" s="249">
        <f>ROUND((F31)*0.6%,0)</f>
        <v>20827</v>
      </c>
      <c r="F34" s="251">
        <f t="shared" si="2"/>
        <v>20827</v>
      </c>
      <c r="G34" s="184" t="s">
        <v>273</v>
      </c>
    </row>
    <row r="35" spans="1:7">
      <c r="A35" s="271" t="s">
        <v>267</v>
      </c>
      <c r="B35" s="184" t="s">
        <v>204</v>
      </c>
      <c r="C35" s="248" t="s">
        <v>220</v>
      </c>
      <c r="D35" s="250">
        <v>1</v>
      </c>
      <c r="E35" s="250">
        <f>ROUND(F31*6%,0)-1329</f>
        <v>206938</v>
      </c>
      <c r="F35" s="251">
        <f t="shared" si="2"/>
        <v>206938</v>
      </c>
      <c r="G35" s="184" t="s">
        <v>241</v>
      </c>
    </row>
    <row r="36" spans="1:7">
      <c r="A36" s="271" t="s">
        <v>272</v>
      </c>
      <c r="B36" s="184" t="s">
        <v>276</v>
      </c>
      <c r="C36" s="248" t="s">
        <v>220</v>
      </c>
      <c r="D36" s="250">
        <v>1</v>
      </c>
      <c r="E36" s="250">
        <f>ROUND((E16+F33+F35+F32+F31)*5%,0)</f>
        <v>231693</v>
      </c>
      <c r="F36" s="251">
        <f t="shared" si="2"/>
        <v>231693</v>
      </c>
      <c r="G36" s="252" t="s">
        <v>219</v>
      </c>
    </row>
    <row r="37" spans="1:7" ht="18.75">
      <c r="A37" s="247"/>
      <c r="B37" s="269" t="s">
        <v>268</v>
      </c>
      <c r="C37" s="253"/>
      <c r="D37" s="254"/>
      <c r="E37" s="254"/>
      <c r="F37" s="254">
        <f>ROUND(SUM(F31:F36),0)</f>
        <v>4000000</v>
      </c>
      <c r="G37" s="247"/>
    </row>
    <row r="38" spans="1:7" ht="18.75">
      <c r="A38" s="281" t="s">
        <v>269</v>
      </c>
      <c r="B38" s="270"/>
      <c r="C38" s="270"/>
      <c r="D38" s="270"/>
      <c r="E38" s="270"/>
      <c r="F38" s="270"/>
      <c r="G38" s="270"/>
    </row>
    <row r="39" spans="1:7" ht="47.25">
      <c r="A39" s="273" t="s">
        <v>270</v>
      </c>
      <c r="B39" s="272" t="s">
        <v>237</v>
      </c>
      <c r="C39" s="273" t="s">
        <v>238</v>
      </c>
      <c r="D39" s="274">
        <v>1</v>
      </c>
      <c r="E39" s="282">
        <f>(F37-F36-F34)*8.6%*98%</f>
        <v>315837.61439999996</v>
      </c>
      <c r="F39" s="282">
        <f>E39*D39</f>
        <v>315837.61439999996</v>
      </c>
      <c r="G39" s="275" t="s">
        <v>286</v>
      </c>
    </row>
    <row r="40" spans="1:7" ht="18.75">
      <c r="A40" s="283" t="s">
        <v>271</v>
      </c>
      <c r="B40" s="255" t="s">
        <v>242</v>
      </c>
      <c r="C40" s="256" t="s">
        <v>238</v>
      </c>
      <c r="D40" s="257">
        <v>1</v>
      </c>
      <c r="E40" s="258">
        <f>ROUND(F37*0.35%,0)</f>
        <v>14000</v>
      </c>
      <c r="F40" s="258">
        <f>E40*D40</f>
        <v>14000</v>
      </c>
      <c r="G40" s="255"/>
    </row>
    <row r="41" spans="1:7" ht="18.75">
      <c r="A41" s="247"/>
      <c r="B41" s="284" t="s">
        <v>285</v>
      </c>
      <c r="C41" s="253"/>
      <c r="D41" s="259"/>
      <c r="E41" s="259"/>
      <c r="F41" s="254">
        <f>ROUND(SUM(F37:F40),0)</f>
        <v>4329838</v>
      </c>
      <c r="G41" s="260"/>
    </row>
    <row r="47" spans="1:7">
      <c r="B47" s="191"/>
    </row>
  </sheetData>
  <mergeCells count="3">
    <mergeCell ref="H27:K27"/>
    <mergeCell ref="A38:G38"/>
    <mergeCell ref="B2:G2"/>
  </mergeCells>
  <phoneticPr fontId="3" type="noConversion"/>
  <pageMargins left="0.7" right="0.7" top="0.75" bottom="0.75" header="0.3" footer="0.3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P52"/>
  <sheetViews>
    <sheetView topLeftCell="A13" workbookViewId="0">
      <selection activeCell="A3" sqref="A3:I39"/>
    </sheetView>
  </sheetViews>
  <sheetFormatPr defaultRowHeight="14.25"/>
  <cols>
    <col min="1" max="1" width="3.6640625" style="23" customWidth="1"/>
    <col min="2" max="2" width="4.6640625" style="23" customWidth="1"/>
    <col min="3" max="3" width="19.77734375" style="23" customWidth="1"/>
    <col min="4" max="4" width="5.77734375" style="23" customWidth="1"/>
    <col min="5" max="5" width="5.109375" style="23" customWidth="1"/>
    <col min="6" max="6" width="8.88671875" style="24"/>
    <col min="7" max="7" width="10.21875" style="23" customWidth="1"/>
    <col min="8" max="8" width="15.33203125" style="23" customWidth="1"/>
    <col min="9" max="9" width="8.88671875" style="23" customWidth="1"/>
    <col min="10" max="10" width="18" style="23" customWidth="1"/>
    <col min="11" max="12" width="8.88671875" style="23"/>
    <col min="13" max="13" width="10.88671875" style="23" bestFit="1" customWidth="1"/>
    <col min="14" max="16384" width="8.88671875" style="23"/>
  </cols>
  <sheetData>
    <row r="1" spans="1:16" ht="25.5">
      <c r="B1" s="208" t="s">
        <v>67</v>
      </c>
      <c r="C1" s="208"/>
      <c r="D1" s="208"/>
      <c r="E1" s="208"/>
      <c r="F1" s="208"/>
      <c r="G1" s="208"/>
      <c r="H1" s="208"/>
      <c r="I1" s="208"/>
      <c r="J1" s="31"/>
      <c r="K1" s="30"/>
      <c r="L1" s="30"/>
    </row>
    <row r="2" spans="1:16" ht="15" thickBot="1">
      <c r="B2" s="90"/>
      <c r="C2" s="30"/>
      <c r="D2" s="31"/>
      <c r="E2" s="31"/>
      <c r="F2" s="32"/>
      <c r="G2" s="31"/>
      <c r="H2" s="31"/>
      <c r="I2" s="89" t="s">
        <v>66</v>
      </c>
      <c r="J2" s="31"/>
      <c r="K2" s="30"/>
      <c r="L2" s="30"/>
    </row>
    <row r="3" spans="1:16" ht="17.25" customHeight="1" thickBot="1">
      <c r="A3" s="230" t="s">
        <v>176</v>
      </c>
      <c r="B3" s="231"/>
      <c r="C3" s="176" t="s">
        <v>175</v>
      </c>
      <c r="D3" s="176" t="s">
        <v>174</v>
      </c>
      <c r="E3" s="176" t="s">
        <v>173</v>
      </c>
      <c r="F3" s="177" t="s">
        <v>172</v>
      </c>
      <c r="G3" s="176" t="s">
        <v>171</v>
      </c>
      <c r="H3" s="176" t="s">
        <v>170</v>
      </c>
      <c r="I3" s="175" t="s">
        <v>169</v>
      </c>
      <c r="J3" s="33"/>
      <c r="K3" s="30"/>
      <c r="L3" s="30"/>
    </row>
    <row r="4" spans="1:16" ht="17.25" customHeight="1">
      <c r="A4" s="232" t="s">
        <v>168</v>
      </c>
      <c r="B4" s="162" t="s">
        <v>167</v>
      </c>
      <c r="C4" s="174" t="s">
        <v>166</v>
      </c>
      <c r="D4" s="159"/>
      <c r="E4" s="159" t="s">
        <v>140</v>
      </c>
      <c r="F4" s="160">
        <v>1</v>
      </c>
      <c r="G4" s="158"/>
      <c r="H4" s="158">
        <f>SUM(H5:H13)</f>
        <v>40950</v>
      </c>
      <c r="I4" s="237" t="s">
        <v>165</v>
      </c>
      <c r="J4" s="75">
        <f>ROUND(J29*0.38,0)</f>
        <v>64067</v>
      </c>
      <c r="K4" s="30"/>
      <c r="L4" s="30"/>
      <c r="M4" s="74">
        <f>J4-H4</f>
        <v>23117</v>
      </c>
    </row>
    <row r="5" spans="1:16" ht="17.25" customHeight="1">
      <c r="A5" s="232"/>
      <c r="B5" s="154">
        <v>1</v>
      </c>
      <c r="C5" s="173" t="s">
        <v>164</v>
      </c>
      <c r="D5" s="151"/>
      <c r="E5" s="166" t="s">
        <v>160</v>
      </c>
      <c r="F5" s="152">
        <v>1</v>
      </c>
      <c r="G5" s="164">
        <v>3000</v>
      </c>
      <c r="H5" s="167">
        <f t="shared" ref="H5:H13" si="0">F5*G5</f>
        <v>3000</v>
      </c>
      <c r="I5" s="237"/>
      <c r="J5" s="33"/>
      <c r="K5" s="30"/>
      <c r="L5" s="30"/>
    </row>
    <row r="6" spans="1:16" ht="17.25" customHeight="1">
      <c r="A6" s="232"/>
      <c r="B6" s="154">
        <v>2</v>
      </c>
      <c r="C6" s="173" t="s">
        <v>163</v>
      </c>
      <c r="D6" s="151"/>
      <c r="E6" s="166" t="s">
        <v>160</v>
      </c>
      <c r="F6" s="152">
        <v>1</v>
      </c>
      <c r="G6" s="167">
        <v>12000</v>
      </c>
      <c r="H6" s="167">
        <f t="shared" si="0"/>
        <v>12000</v>
      </c>
      <c r="I6" s="237"/>
      <c r="J6" s="33"/>
      <c r="K6" s="30"/>
      <c r="L6" s="30"/>
    </row>
    <row r="7" spans="1:16" ht="17.25" customHeight="1">
      <c r="A7" s="232"/>
      <c r="B7" s="154">
        <v>3</v>
      </c>
      <c r="C7" s="165" t="s">
        <v>149</v>
      </c>
      <c r="D7" s="151"/>
      <c r="E7" s="166" t="s">
        <v>146</v>
      </c>
      <c r="F7" s="152">
        <v>0.15</v>
      </c>
      <c r="G7" s="167">
        <v>31000</v>
      </c>
      <c r="H7" s="167">
        <f t="shared" si="0"/>
        <v>4650</v>
      </c>
      <c r="I7" s="237"/>
      <c r="J7" s="33"/>
      <c r="K7" s="30"/>
      <c r="L7" s="30"/>
    </row>
    <row r="8" spans="1:16" ht="17.25" customHeight="1">
      <c r="A8" s="232"/>
      <c r="B8" s="154">
        <v>4</v>
      </c>
      <c r="C8" s="173" t="s">
        <v>162</v>
      </c>
      <c r="D8" s="151"/>
      <c r="E8" s="166" t="s">
        <v>146</v>
      </c>
      <c r="F8" s="152">
        <v>0.15</v>
      </c>
      <c r="G8" s="167">
        <v>31000</v>
      </c>
      <c r="H8" s="167">
        <f t="shared" si="0"/>
        <v>4650</v>
      </c>
      <c r="I8" s="237"/>
      <c r="J8" s="33"/>
      <c r="K8" s="30"/>
      <c r="L8" s="30"/>
    </row>
    <row r="9" spans="1:16" ht="17.25" customHeight="1">
      <c r="A9" s="232"/>
      <c r="B9" s="154">
        <v>5</v>
      </c>
      <c r="C9" s="173" t="s">
        <v>157</v>
      </c>
      <c r="D9" s="151"/>
      <c r="E9" s="166" t="s">
        <v>146</v>
      </c>
      <c r="F9" s="152">
        <v>0.15</v>
      </c>
      <c r="G9" s="167">
        <v>31000</v>
      </c>
      <c r="H9" s="167">
        <f t="shared" si="0"/>
        <v>4650</v>
      </c>
      <c r="I9" s="237"/>
      <c r="J9" s="33"/>
      <c r="K9" s="30">
        <f>4.6/10.5</f>
        <v>0.43809523809523804</v>
      </c>
      <c r="L9" s="30"/>
      <c r="M9" s="74"/>
    </row>
    <row r="10" spans="1:16" ht="17.25" customHeight="1">
      <c r="A10" s="232"/>
      <c r="B10" s="154">
        <v>7</v>
      </c>
      <c r="C10" s="173" t="s">
        <v>145</v>
      </c>
      <c r="D10" s="151"/>
      <c r="E10" s="166" t="s">
        <v>160</v>
      </c>
      <c r="F10" s="152">
        <v>1</v>
      </c>
      <c r="G10" s="164">
        <v>3000</v>
      </c>
      <c r="H10" s="167">
        <f t="shared" si="0"/>
        <v>3000</v>
      </c>
      <c r="I10" s="237"/>
      <c r="J10" s="33"/>
      <c r="K10" s="30">
        <f>5.9/10.5</f>
        <v>0.56190476190476191</v>
      </c>
      <c r="L10" s="30"/>
    </row>
    <row r="11" spans="1:16" ht="17.25" customHeight="1">
      <c r="A11" s="232"/>
      <c r="B11" s="154">
        <v>8</v>
      </c>
      <c r="C11" s="173" t="s">
        <v>144</v>
      </c>
      <c r="D11" s="151"/>
      <c r="E11" s="166" t="s">
        <v>160</v>
      </c>
      <c r="F11" s="152">
        <v>1</v>
      </c>
      <c r="G11" s="164">
        <v>3000</v>
      </c>
      <c r="H11" s="167">
        <f t="shared" si="0"/>
        <v>3000</v>
      </c>
      <c r="I11" s="237"/>
      <c r="J11" s="33"/>
      <c r="K11" s="30"/>
      <c r="L11" s="30"/>
    </row>
    <row r="12" spans="1:16" ht="17.25" customHeight="1">
      <c r="A12" s="232"/>
      <c r="B12" s="154">
        <v>9</v>
      </c>
      <c r="C12" s="173" t="s">
        <v>161</v>
      </c>
      <c r="D12" s="151"/>
      <c r="E12" s="166" t="s">
        <v>160</v>
      </c>
      <c r="F12" s="152">
        <v>1</v>
      </c>
      <c r="G12" s="164">
        <v>3000</v>
      </c>
      <c r="H12" s="167">
        <f t="shared" si="0"/>
        <v>3000</v>
      </c>
      <c r="I12" s="237"/>
      <c r="J12" s="33"/>
      <c r="K12" s="30"/>
      <c r="L12" s="30"/>
    </row>
    <row r="13" spans="1:16" ht="17.25" customHeight="1">
      <c r="A13" s="232"/>
      <c r="B13" s="154">
        <v>10</v>
      </c>
      <c r="C13" s="173" t="s">
        <v>20</v>
      </c>
      <c r="D13" s="151"/>
      <c r="E13" s="166" t="s">
        <v>160</v>
      </c>
      <c r="F13" s="152">
        <v>1</v>
      </c>
      <c r="G13" s="164">
        <v>3000</v>
      </c>
      <c r="H13" s="167">
        <f t="shared" si="0"/>
        <v>3000</v>
      </c>
      <c r="I13" s="237"/>
      <c r="J13" s="33"/>
      <c r="K13" s="30"/>
      <c r="L13" s="30"/>
      <c r="O13" s="23">
        <v>4000</v>
      </c>
      <c r="P13" s="23">
        <f>O13*0.5</f>
        <v>2000</v>
      </c>
    </row>
    <row r="14" spans="1:16" ht="17.25" customHeight="1">
      <c r="A14" s="232"/>
      <c r="B14" s="172" t="s">
        <v>159</v>
      </c>
      <c r="C14" s="171" t="s">
        <v>158</v>
      </c>
      <c r="D14" s="170"/>
      <c r="E14" s="170" t="s">
        <v>140</v>
      </c>
      <c r="F14" s="169">
        <v>1</v>
      </c>
      <c r="G14" s="168"/>
      <c r="H14" s="168">
        <f>SUM(H15:H21)</f>
        <v>25950</v>
      </c>
      <c r="I14" s="237"/>
      <c r="J14" s="75">
        <f>ROUND(J29*0.55,0)</f>
        <v>92728</v>
      </c>
      <c r="K14" s="30"/>
      <c r="L14" s="30"/>
      <c r="M14" s="74">
        <f>J14-H14</f>
        <v>66778</v>
      </c>
      <c r="O14" s="23">
        <v>6500</v>
      </c>
      <c r="P14" s="23">
        <f t="shared" ref="P14:P42" si="1">O14*0.5</f>
        <v>3250</v>
      </c>
    </row>
    <row r="15" spans="1:16" ht="17.25" customHeight="1">
      <c r="A15" s="232"/>
      <c r="B15" s="154">
        <v>1</v>
      </c>
      <c r="C15" s="165" t="s">
        <v>149</v>
      </c>
      <c r="D15" s="151"/>
      <c r="E15" s="166" t="s">
        <v>146</v>
      </c>
      <c r="F15" s="152">
        <v>0.15</v>
      </c>
      <c r="G15" s="167">
        <v>31000</v>
      </c>
      <c r="H15" s="167">
        <f t="shared" ref="H15:H21" si="2">F15*G15</f>
        <v>4650</v>
      </c>
      <c r="I15" s="237"/>
      <c r="J15" s="33"/>
      <c r="K15" s="30"/>
      <c r="L15" s="30"/>
      <c r="O15" s="23">
        <v>40000</v>
      </c>
      <c r="P15" s="23">
        <f t="shared" si="1"/>
        <v>20000</v>
      </c>
    </row>
    <row r="16" spans="1:16" ht="17.25" customHeight="1">
      <c r="A16" s="232"/>
      <c r="B16" s="154">
        <v>2</v>
      </c>
      <c r="C16" s="165" t="s">
        <v>148</v>
      </c>
      <c r="D16" s="151"/>
      <c r="E16" s="166" t="s">
        <v>146</v>
      </c>
      <c r="F16" s="152">
        <v>0.15</v>
      </c>
      <c r="G16" s="167">
        <v>31000</v>
      </c>
      <c r="H16" s="167">
        <f t="shared" si="2"/>
        <v>4650</v>
      </c>
      <c r="I16" s="237"/>
      <c r="J16" s="33"/>
      <c r="K16" s="30"/>
      <c r="L16" s="30"/>
      <c r="O16" s="23">
        <v>25000</v>
      </c>
      <c r="P16" s="23">
        <f t="shared" si="1"/>
        <v>12500</v>
      </c>
    </row>
    <row r="17" spans="1:16" ht="17.25" customHeight="1">
      <c r="A17" s="232"/>
      <c r="B17" s="154">
        <v>3</v>
      </c>
      <c r="C17" s="165" t="s">
        <v>157</v>
      </c>
      <c r="D17" s="151"/>
      <c r="E17" s="166" t="s">
        <v>146</v>
      </c>
      <c r="F17" s="152">
        <v>0.15</v>
      </c>
      <c r="G17" s="167">
        <v>31000</v>
      </c>
      <c r="H17" s="167">
        <f t="shared" si="2"/>
        <v>4650</v>
      </c>
      <c r="I17" s="237"/>
      <c r="J17" s="33"/>
      <c r="K17" s="30"/>
      <c r="L17" s="30"/>
      <c r="O17" s="23">
        <v>25000</v>
      </c>
      <c r="P17" s="23">
        <f t="shared" si="1"/>
        <v>12500</v>
      </c>
    </row>
    <row r="18" spans="1:16" ht="17.25" customHeight="1">
      <c r="A18" s="232"/>
      <c r="B18" s="154">
        <v>5</v>
      </c>
      <c r="C18" s="165" t="s">
        <v>145</v>
      </c>
      <c r="D18" s="151"/>
      <c r="E18" s="151" t="s">
        <v>140</v>
      </c>
      <c r="F18" s="152">
        <v>1</v>
      </c>
      <c r="G18" s="164">
        <v>3000</v>
      </c>
      <c r="H18" s="167">
        <f t="shared" si="2"/>
        <v>3000</v>
      </c>
      <c r="I18" s="237"/>
      <c r="J18" s="33"/>
      <c r="K18" s="30"/>
      <c r="L18" s="30"/>
      <c r="O18" s="23">
        <v>6500</v>
      </c>
      <c r="P18" s="23">
        <f t="shared" si="1"/>
        <v>3250</v>
      </c>
    </row>
    <row r="19" spans="1:16" ht="17.25" customHeight="1">
      <c r="A19" s="232"/>
      <c r="B19" s="154">
        <v>6</v>
      </c>
      <c r="C19" s="165" t="s">
        <v>156</v>
      </c>
      <c r="D19" s="151"/>
      <c r="E19" s="151" t="s">
        <v>140</v>
      </c>
      <c r="F19" s="152">
        <v>1</v>
      </c>
      <c r="G19" s="164">
        <v>3000</v>
      </c>
      <c r="H19" s="167">
        <f t="shared" si="2"/>
        <v>3000</v>
      </c>
      <c r="I19" s="237"/>
      <c r="J19" s="33"/>
      <c r="K19" s="30"/>
      <c r="L19" s="30"/>
      <c r="O19" s="23">
        <v>6000</v>
      </c>
      <c r="P19" s="23">
        <f t="shared" si="1"/>
        <v>3000</v>
      </c>
    </row>
    <row r="20" spans="1:16" ht="17.25" customHeight="1">
      <c r="A20" s="232"/>
      <c r="B20" s="154">
        <v>7</v>
      </c>
      <c r="C20" s="165" t="s">
        <v>155</v>
      </c>
      <c r="D20" s="151"/>
      <c r="E20" s="151" t="s">
        <v>140</v>
      </c>
      <c r="F20" s="152">
        <v>1</v>
      </c>
      <c r="G20" s="164">
        <v>3000</v>
      </c>
      <c r="H20" s="167">
        <f t="shared" si="2"/>
        <v>3000</v>
      </c>
      <c r="I20" s="237"/>
      <c r="J20" s="33"/>
      <c r="K20" s="30"/>
      <c r="L20" s="30"/>
      <c r="O20" s="23">
        <v>6000</v>
      </c>
      <c r="P20" s="23">
        <f t="shared" si="1"/>
        <v>3000</v>
      </c>
    </row>
    <row r="21" spans="1:16" ht="17.25" customHeight="1">
      <c r="A21" s="232"/>
      <c r="B21" s="154">
        <v>8</v>
      </c>
      <c r="C21" s="165" t="s">
        <v>20</v>
      </c>
      <c r="D21" s="151"/>
      <c r="E21" s="151" t="s">
        <v>140</v>
      </c>
      <c r="F21" s="152">
        <v>1</v>
      </c>
      <c r="G21" s="164">
        <v>3000</v>
      </c>
      <c r="H21" s="167">
        <f t="shared" si="2"/>
        <v>3000</v>
      </c>
      <c r="I21" s="237"/>
      <c r="J21" s="33"/>
      <c r="K21" s="30"/>
      <c r="L21" s="30"/>
      <c r="O21" s="23">
        <v>4967</v>
      </c>
      <c r="P21" s="23">
        <f t="shared" si="1"/>
        <v>2483.5</v>
      </c>
    </row>
    <row r="22" spans="1:16" ht="17.25" customHeight="1">
      <c r="A22" s="232"/>
      <c r="B22" s="172" t="s">
        <v>154</v>
      </c>
      <c r="C22" s="171" t="s">
        <v>153</v>
      </c>
      <c r="D22" s="170"/>
      <c r="E22" s="170" t="s">
        <v>140</v>
      </c>
      <c r="F22" s="169">
        <v>1</v>
      </c>
      <c r="G22" s="168"/>
      <c r="H22" s="168">
        <f>SUM(H23:H27)</f>
        <v>18381</v>
      </c>
      <c r="I22" s="237"/>
      <c r="J22" s="75">
        <f>ROUND(J29*0.07,0)</f>
        <v>11802</v>
      </c>
      <c r="K22" s="30"/>
      <c r="L22" s="30"/>
      <c r="M22" s="74">
        <f>J22-H22</f>
        <v>-6579</v>
      </c>
      <c r="P22" s="23">
        <f t="shared" si="1"/>
        <v>0</v>
      </c>
    </row>
    <row r="23" spans="1:16" ht="17.25" customHeight="1">
      <c r="A23" s="232"/>
      <c r="B23" s="154">
        <v>1</v>
      </c>
      <c r="C23" s="165" t="s">
        <v>149</v>
      </c>
      <c r="D23" s="151"/>
      <c r="E23" s="166" t="s">
        <v>146</v>
      </c>
      <c r="F23" s="152">
        <v>0.15</v>
      </c>
      <c r="G23" s="167">
        <v>31000</v>
      </c>
      <c r="H23" s="167">
        <f>F23*G23</f>
        <v>4650</v>
      </c>
      <c r="I23" s="237"/>
      <c r="J23" s="33"/>
      <c r="K23" s="30"/>
      <c r="L23" s="30"/>
      <c r="O23" s="23">
        <v>40000</v>
      </c>
      <c r="P23" s="23">
        <f t="shared" si="1"/>
        <v>20000</v>
      </c>
    </row>
    <row r="24" spans="1:16" ht="17.25" customHeight="1">
      <c r="A24" s="232"/>
      <c r="B24" s="154">
        <v>2</v>
      </c>
      <c r="C24" s="165" t="s">
        <v>148</v>
      </c>
      <c r="D24" s="151"/>
      <c r="E24" s="166" t="s">
        <v>146</v>
      </c>
      <c r="F24" s="152">
        <v>0.15</v>
      </c>
      <c r="G24" s="167">
        <v>31000</v>
      </c>
      <c r="H24" s="167">
        <f>F24*G24</f>
        <v>4650</v>
      </c>
      <c r="I24" s="237"/>
      <c r="J24" s="33"/>
      <c r="K24" s="30"/>
      <c r="L24" s="30"/>
      <c r="O24" s="23">
        <v>40000</v>
      </c>
      <c r="P24" s="23">
        <f t="shared" si="1"/>
        <v>20000</v>
      </c>
    </row>
    <row r="25" spans="1:16" ht="17.25" customHeight="1">
      <c r="A25" s="232"/>
      <c r="B25" s="154">
        <v>3</v>
      </c>
      <c r="C25" s="165" t="s">
        <v>145</v>
      </c>
      <c r="D25" s="151"/>
      <c r="E25" s="151" t="s">
        <v>140</v>
      </c>
      <c r="F25" s="152">
        <v>1</v>
      </c>
      <c r="G25" s="164">
        <v>3000</v>
      </c>
      <c r="H25" s="167">
        <f>F25*G25</f>
        <v>3000</v>
      </c>
      <c r="I25" s="237"/>
      <c r="J25" s="33"/>
      <c r="K25" s="30"/>
      <c r="L25" s="30"/>
      <c r="O25" s="23">
        <v>30000</v>
      </c>
      <c r="P25" s="23">
        <f t="shared" si="1"/>
        <v>15000</v>
      </c>
    </row>
    <row r="26" spans="1:16" ht="17.25" customHeight="1">
      <c r="A26" s="232"/>
      <c r="B26" s="154">
        <v>4</v>
      </c>
      <c r="C26" s="165" t="s">
        <v>144</v>
      </c>
      <c r="D26" s="151"/>
      <c r="E26" s="151" t="s">
        <v>140</v>
      </c>
      <c r="F26" s="152">
        <v>1</v>
      </c>
      <c r="G26" s="164">
        <v>3000</v>
      </c>
      <c r="H26" s="167">
        <f>F26*G26</f>
        <v>3000</v>
      </c>
      <c r="I26" s="237"/>
      <c r="J26" s="33"/>
      <c r="K26" s="30"/>
      <c r="L26" s="30"/>
      <c r="O26" s="23">
        <v>8000</v>
      </c>
      <c r="P26" s="23">
        <f t="shared" si="1"/>
        <v>4000</v>
      </c>
    </row>
    <row r="27" spans="1:16" ht="17.25" customHeight="1">
      <c r="A27" s="232"/>
      <c r="B27" s="154">
        <v>5</v>
      </c>
      <c r="C27" s="165" t="s">
        <v>143</v>
      </c>
      <c r="D27" s="151"/>
      <c r="E27" s="151" t="s">
        <v>140</v>
      </c>
      <c r="F27" s="152">
        <v>1</v>
      </c>
      <c r="G27" s="164">
        <v>3081</v>
      </c>
      <c r="H27" s="167">
        <f>F27*G27</f>
        <v>3081</v>
      </c>
      <c r="I27" s="237"/>
      <c r="J27" s="33"/>
      <c r="K27" s="30"/>
      <c r="L27" s="30"/>
      <c r="O27" s="23">
        <v>8000</v>
      </c>
      <c r="P27" s="23">
        <f t="shared" si="1"/>
        <v>4000</v>
      </c>
    </row>
    <row r="28" spans="1:16" ht="15" thickBot="1">
      <c r="A28" s="233"/>
      <c r="B28" s="198"/>
      <c r="C28" s="199" t="s">
        <v>234</v>
      </c>
      <c r="D28" s="200"/>
      <c r="E28" s="200"/>
      <c r="F28" s="201"/>
      <c r="G28" s="200"/>
      <c r="H28" s="202">
        <f>SUM(H22+H14+H4)</f>
        <v>85281</v>
      </c>
      <c r="I28" s="238"/>
      <c r="J28" s="31">
        <f>ROUND(J38*0.56,0)</f>
        <v>176869</v>
      </c>
      <c r="K28" s="30">
        <f>ROUND(K38*0.55,0)</f>
        <v>8272</v>
      </c>
      <c r="L28" s="30"/>
      <c r="O28" s="23">
        <v>8000</v>
      </c>
      <c r="P28" s="23">
        <f t="shared" si="1"/>
        <v>4000</v>
      </c>
    </row>
    <row r="29" spans="1:16" ht="17.25" customHeight="1">
      <c r="A29" s="234" t="s">
        <v>152</v>
      </c>
      <c r="B29" s="162" t="s">
        <v>151</v>
      </c>
      <c r="C29" s="161" t="s">
        <v>244</v>
      </c>
      <c r="D29" s="159"/>
      <c r="E29" s="159" t="s">
        <v>140</v>
      </c>
      <c r="F29" s="160">
        <v>1</v>
      </c>
      <c r="G29" s="158"/>
      <c r="H29" s="158">
        <f>H36</f>
        <v>69775</v>
      </c>
      <c r="I29" s="239" t="s">
        <v>150</v>
      </c>
      <c r="J29" s="70">
        <f>J28-K28</f>
        <v>168597</v>
      </c>
      <c r="K29" s="30"/>
      <c r="L29" s="30"/>
      <c r="M29" s="74"/>
      <c r="O29" s="23">
        <v>6262</v>
      </c>
      <c r="P29" s="23">
        <f t="shared" si="1"/>
        <v>3131</v>
      </c>
    </row>
    <row r="30" spans="1:16" ht="17.25" customHeight="1">
      <c r="A30" s="232"/>
      <c r="B30" s="154">
        <v>1</v>
      </c>
      <c r="C30" s="165" t="s">
        <v>149</v>
      </c>
      <c r="D30" s="151"/>
      <c r="E30" s="166" t="s">
        <v>146</v>
      </c>
      <c r="F30" s="152">
        <v>0.65</v>
      </c>
      <c r="G30" s="167">
        <v>31000</v>
      </c>
      <c r="H30" s="167">
        <f>F30*G30</f>
        <v>20150</v>
      </c>
      <c r="I30" s="237"/>
      <c r="J30" s="70"/>
      <c r="K30" s="30"/>
      <c r="L30" s="30"/>
      <c r="P30" s="23">
        <f t="shared" si="1"/>
        <v>0</v>
      </c>
    </row>
    <row r="31" spans="1:16" ht="17.25" customHeight="1">
      <c r="A31" s="232"/>
      <c r="B31" s="154">
        <v>2</v>
      </c>
      <c r="C31" s="165" t="s">
        <v>148</v>
      </c>
      <c r="D31" s="151"/>
      <c r="E31" s="166" t="s">
        <v>146</v>
      </c>
      <c r="F31" s="152">
        <v>0.65</v>
      </c>
      <c r="G31" s="167">
        <v>31000</v>
      </c>
      <c r="H31" s="167">
        <f>F31*G31</f>
        <v>20150</v>
      </c>
      <c r="I31" s="237"/>
      <c r="J31" s="70"/>
      <c r="K31" s="30"/>
      <c r="L31" s="30"/>
      <c r="O31" s="23">
        <v>40000</v>
      </c>
      <c r="P31" s="23">
        <f t="shared" si="1"/>
        <v>20000</v>
      </c>
    </row>
    <row r="32" spans="1:16" ht="17.25" customHeight="1">
      <c r="A32" s="232"/>
      <c r="B32" s="154">
        <v>3</v>
      </c>
      <c r="C32" s="153" t="s">
        <v>147</v>
      </c>
      <c r="D32" s="151"/>
      <c r="E32" s="166" t="s">
        <v>146</v>
      </c>
      <c r="F32" s="152">
        <v>0.65</v>
      </c>
      <c r="G32" s="167">
        <v>31000</v>
      </c>
      <c r="H32" s="164">
        <f>G32*F32</f>
        <v>20150</v>
      </c>
      <c r="I32" s="237"/>
      <c r="J32" s="31"/>
      <c r="K32" s="30"/>
      <c r="L32" s="30"/>
      <c r="O32" s="23">
        <v>40000</v>
      </c>
      <c r="P32" s="23">
        <f t="shared" si="1"/>
        <v>20000</v>
      </c>
    </row>
    <row r="33" spans="1:16" ht="17.25" customHeight="1">
      <c r="A33" s="232"/>
      <c r="B33" s="154">
        <v>4</v>
      </c>
      <c r="C33" s="153" t="s">
        <v>145</v>
      </c>
      <c r="D33" s="151"/>
      <c r="E33" s="151" t="s">
        <v>140</v>
      </c>
      <c r="F33" s="152">
        <v>1</v>
      </c>
      <c r="G33" s="164">
        <v>3000</v>
      </c>
      <c r="H33" s="164">
        <f>G33*F33</f>
        <v>3000</v>
      </c>
      <c r="I33" s="237"/>
      <c r="J33" s="31"/>
      <c r="K33" s="30"/>
      <c r="L33" s="30"/>
      <c r="O33" s="23">
        <v>2000</v>
      </c>
      <c r="P33" s="23">
        <f t="shared" si="1"/>
        <v>1000</v>
      </c>
    </row>
    <row r="34" spans="1:16" ht="17.25" customHeight="1">
      <c r="A34" s="232"/>
      <c r="B34" s="154">
        <v>5</v>
      </c>
      <c r="C34" s="165" t="s">
        <v>144</v>
      </c>
      <c r="D34" s="151"/>
      <c r="E34" s="151" t="s">
        <v>140</v>
      </c>
      <c r="F34" s="152">
        <v>1</v>
      </c>
      <c r="G34" s="164">
        <v>3000</v>
      </c>
      <c r="H34" s="164">
        <f>G34*F34</f>
        <v>3000</v>
      </c>
      <c r="I34" s="237"/>
      <c r="J34" s="31"/>
      <c r="K34" s="30"/>
      <c r="L34" s="30"/>
      <c r="O34" s="23">
        <v>2000</v>
      </c>
      <c r="P34" s="23">
        <f t="shared" si="1"/>
        <v>1000</v>
      </c>
    </row>
    <row r="35" spans="1:16" ht="17.25" customHeight="1">
      <c r="A35" s="232"/>
      <c r="B35" s="154">
        <v>6</v>
      </c>
      <c r="C35" s="165" t="s">
        <v>143</v>
      </c>
      <c r="D35" s="151"/>
      <c r="E35" s="151" t="s">
        <v>140</v>
      </c>
      <c r="F35" s="152">
        <v>1</v>
      </c>
      <c r="G35" s="164">
        <v>3325</v>
      </c>
      <c r="H35" s="164">
        <f>G35*F35</f>
        <v>3325</v>
      </c>
      <c r="I35" s="237"/>
      <c r="J35" s="31">
        <f>ROUND(J38*0.44,0)</f>
        <v>138969</v>
      </c>
      <c r="K35" s="30">
        <f>ROUND(K38*0.45,0)</f>
        <v>6768</v>
      </c>
      <c r="L35" s="30"/>
      <c r="O35" s="23">
        <v>1924</v>
      </c>
      <c r="P35" s="23">
        <f t="shared" si="1"/>
        <v>962</v>
      </c>
    </row>
    <row r="36" spans="1:16" ht="17.25" customHeight="1" thickBot="1">
      <c r="A36" s="233"/>
      <c r="B36" s="163"/>
      <c r="C36" s="204" t="s">
        <v>243</v>
      </c>
      <c r="D36" s="200"/>
      <c r="E36" s="200"/>
      <c r="F36" s="201"/>
      <c r="G36" s="200"/>
      <c r="H36" s="202">
        <f>SUM(H30:H35)</f>
        <v>69775</v>
      </c>
      <c r="I36" s="238"/>
      <c r="J36" s="31"/>
      <c r="K36" s="30"/>
      <c r="L36" s="30"/>
      <c r="P36" s="23">
        <f t="shared" si="1"/>
        <v>0</v>
      </c>
    </row>
    <row r="37" spans="1:16" ht="17.25" customHeight="1">
      <c r="A37" s="235"/>
      <c r="B37" s="203" t="s">
        <v>142</v>
      </c>
      <c r="C37" s="157" t="s">
        <v>141</v>
      </c>
      <c r="D37" s="156"/>
      <c r="E37" s="156" t="s">
        <v>140</v>
      </c>
      <c r="F37" s="155">
        <v>1</v>
      </c>
      <c r="G37" s="227" t="s">
        <v>139</v>
      </c>
      <c r="H37" s="227"/>
      <c r="I37" s="228"/>
      <c r="J37" s="45" t="e">
        <f>J29+#REF!</f>
        <v>#REF!</v>
      </c>
      <c r="K37" s="30"/>
      <c r="L37" s="30"/>
      <c r="O37" s="23">
        <v>40000</v>
      </c>
      <c r="P37" s="23">
        <f t="shared" si="1"/>
        <v>20000</v>
      </c>
    </row>
    <row r="38" spans="1:16" ht="17.25" customHeight="1">
      <c r="A38" s="235"/>
      <c r="B38" s="154"/>
      <c r="C38" s="153" t="s">
        <v>235</v>
      </c>
      <c r="D38" s="151"/>
      <c r="E38" s="151"/>
      <c r="F38" s="152"/>
      <c r="G38" s="151"/>
      <c r="H38" s="150">
        <f>H36+H28</f>
        <v>155056</v>
      </c>
      <c r="I38" s="149"/>
      <c r="J38" s="37">
        <f>經費概估!E39</f>
        <v>315837.61439999996</v>
      </c>
      <c r="K38" s="30">
        <f>ROUND(J38-J38/1.05,0)</f>
        <v>15040</v>
      </c>
      <c r="L38" s="30"/>
      <c r="O38" s="23">
        <v>40000</v>
      </c>
      <c r="P38" s="23">
        <f t="shared" si="1"/>
        <v>20000</v>
      </c>
    </row>
    <row r="39" spans="1:16" ht="17.25" customHeight="1" thickBot="1">
      <c r="A39" s="236"/>
      <c r="B39" s="148"/>
      <c r="C39" s="147" t="s">
        <v>138</v>
      </c>
      <c r="D39" s="146" t="s">
        <v>137</v>
      </c>
      <c r="E39" s="229">
        <f>H38</f>
        <v>155056</v>
      </c>
      <c r="F39" s="229"/>
      <c r="G39" s="229"/>
      <c r="H39" s="229"/>
      <c r="I39" s="145" t="s">
        <v>136</v>
      </c>
      <c r="J39" s="33">
        <f>J38-H38</f>
        <v>160781.61439999996</v>
      </c>
      <c r="K39" s="30"/>
      <c r="L39" s="30"/>
      <c r="O39" s="23">
        <v>45000</v>
      </c>
      <c r="P39" s="23">
        <f t="shared" si="1"/>
        <v>22500</v>
      </c>
    </row>
    <row r="40" spans="1:16">
      <c r="B40" s="31"/>
      <c r="C40" s="30"/>
      <c r="D40" s="31"/>
      <c r="E40" s="31"/>
      <c r="F40" s="32"/>
      <c r="G40" s="31"/>
      <c r="H40" s="31"/>
      <c r="I40" s="31"/>
      <c r="J40" s="31"/>
      <c r="K40" s="30"/>
      <c r="L40" s="30"/>
      <c r="O40" s="23">
        <v>7500</v>
      </c>
      <c r="P40" s="23">
        <f t="shared" si="1"/>
        <v>3750</v>
      </c>
    </row>
    <row r="41" spans="1:16">
      <c r="B41" s="31"/>
      <c r="C41" s="30"/>
      <c r="D41" s="31"/>
      <c r="E41" s="31"/>
      <c r="F41" s="32"/>
      <c r="G41" s="31"/>
      <c r="H41" s="31"/>
      <c r="I41" s="31"/>
      <c r="J41" s="31"/>
      <c r="K41" s="30"/>
      <c r="L41" s="30"/>
      <c r="O41" s="23">
        <v>5000</v>
      </c>
      <c r="P41" s="23">
        <f t="shared" si="1"/>
        <v>2500</v>
      </c>
    </row>
    <row r="42" spans="1:16">
      <c r="B42" s="31"/>
      <c r="C42" s="30"/>
      <c r="D42" s="31"/>
      <c r="E42" s="31"/>
      <c r="F42" s="32"/>
      <c r="G42" s="31"/>
      <c r="H42" s="31"/>
      <c r="I42" s="31"/>
      <c r="J42" s="31"/>
      <c r="K42" s="30"/>
      <c r="L42" s="30"/>
      <c r="O42" s="23">
        <v>8129</v>
      </c>
      <c r="P42" s="23">
        <f t="shared" si="1"/>
        <v>4064.5</v>
      </c>
    </row>
    <row r="43" spans="1:16">
      <c r="B43" s="31"/>
      <c r="C43" s="30"/>
      <c r="D43" s="31"/>
      <c r="E43" s="31"/>
      <c r="F43" s="32"/>
      <c r="G43" s="31"/>
      <c r="H43" s="31"/>
      <c r="I43" s="31"/>
      <c r="J43" s="31"/>
      <c r="K43" s="30"/>
      <c r="L43" s="30"/>
    </row>
    <row r="44" spans="1:16">
      <c r="J44" s="29">
        <f>J38</f>
        <v>315837.61439999996</v>
      </c>
    </row>
    <row r="46" spans="1:16">
      <c r="F46" s="23"/>
    </row>
    <row r="47" spans="1:16" ht="16.5">
      <c r="F47" s="28"/>
      <c r="G47" s="25"/>
      <c r="H47" s="25"/>
    </row>
    <row r="48" spans="1:16">
      <c r="F48" s="26"/>
      <c r="G48" s="25"/>
    </row>
    <row r="49" spans="6:7">
      <c r="F49" s="27"/>
      <c r="G49" s="25"/>
    </row>
    <row r="50" spans="6:7">
      <c r="F50" s="26"/>
      <c r="G50" s="25"/>
    </row>
    <row r="51" spans="6:7">
      <c r="F51" s="26"/>
      <c r="G51" s="25"/>
    </row>
    <row r="52" spans="6:7">
      <c r="F52" s="26"/>
      <c r="G52" s="25"/>
    </row>
  </sheetData>
  <mergeCells count="9">
    <mergeCell ref="B1:I1"/>
    <mergeCell ref="G37:I37"/>
    <mergeCell ref="E39:H39"/>
    <mergeCell ref="A3:B3"/>
    <mergeCell ref="A4:A28"/>
    <mergeCell ref="A29:A36"/>
    <mergeCell ref="A37:A39"/>
    <mergeCell ref="I4:I28"/>
    <mergeCell ref="I29:I36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H20"/>
  <sheetViews>
    <sheetView topLeftCell="C1" zoomScale="70" zoomScaleNormal="70" workbookViewId="0">
      <selection activeCell="L40" sqref="L40"/>
    </sheetView>
  </sheetViews>
  <sheetFormatPr defaultRowHeight="15"/>
  <cols>
    <col min="2" max="2" width="22" customWidth="1"/>
    <col min="4" max="4" width="15.21875" customWidth="1"/>
    <col min="5" max="5" width="22" customWidth="1"/>
    <col min="7" max="7" width="17.77734375" customWidth="1"/>
    <col min="8" max="8" width="12.6640625" customWidth="1"/>
  </cols>
  <sheetData>
    <row r="5" spans="1:8" ht="16.5">
      <c r="A5" s="179" t="s">
        <v>177</v>
      </c>
      <c r="B5" s="178" t="s">
        <v>190</v>
      </c>
      <c r="D5" s="185" t="s">
        <v>177</v>
      </c>
      <c r="E5" s="186" t="s">
        <v>190</v>
      </c>
      <c r="F5" s="14"/>
      <c r="G5" s="187" t="e">
        <f>#REF!</f>
        <v>#REF!</v>
      </c>
      <c r="H5" s="188" t="e">
        <f>G5/$G$17</f>
        <v>#REF!</v>
      </c>
    </row>
    <row r="6" spans="1:8" ht="16.5">
      <c r="A6" s="179" t="s">
        <v>178</v>
      </c>
      <c r="B6" s="178" t="s">
        <v>191</v>
      </c>
      <c r="D6" s="185" t="s">
        <v>178</v>
      </c>
      <c r="E6" s="186" t="s">
        <v>191</v>
      </c>
      <c r="F6" s="14"/>
      <c r="G6" s="187" t="e">
        <f>#REF!</f>
        <v>#REF!</v>
      </c>
      <c r="H6" s="188" t="e">
        <f t="shared" ref="H6:H14" si="0">G6/$G$17</f>
        <v>#REF!</v>
      </c>
    </row>
    <row r="7" spans="1:8" ht="16.5">
      <c r="A7" s="179" t="s">
        <v>179</v>
      </c>
      <c r="B7" s="178" t="s">
        <v>192</v>
      </c>
      <c r="D7" s="185" t="s">
        <v>179</v>
      </c>
      <c r="E7" s="186" t="s">
        <v>192</v>
      </c>
      <c r="F7" s="14"/>
      <c r="G7" s="187" t="e">
        <f>#REF!</f>
        <v>#REF!</v>
      </c>
      <c r="H7" s="188" t="e">
        <f t="shared" si="0"/>
        <v>#REF!</v>
      </c>
    </row>
    <row r="8" spans="1:8" ht="16.5">
      <c r="A8" s="179" t="s">
        <v>180</v>
      </c>
      <c r="B8" s="178" t="s">
        <v>193</v>
      </c>
      <c r="D8" s="185" t="s">
        <v>180</v>
      </c>
      <c r="E8" s="186" t="s">
        <v>193</v>
      </c>
      <c r="F8" s="14"/>
      <c r="G8" s="187" t="e">
        <f>#REF!</f>
        <v>#REF!</v>
      </c>
      <c r="H8" s="188" t="e">
        <f t="shared" si="0"/>
        <v>#REF!</v>
      </c>
    </row>
    <row r="9" spans="1:8" ht="16.5">
      <c r="A9" s="179" t="s">
        <v>181</v>
      </c>
      <c r="B9" s="178" t="s">
        <v>194</v>
      </c>
      <c r="D9" s="185" t="s">
        <v>181</v>
      </c>
      <c r="E9" s="186" t="s">
        <v>194</v>
      </c>
      <c r="F9" s="14"/>
      <c r="G9" s="187" t="e">
        <f>#REF!</f>
        <v>#REF!</v>
      </c>
      <c r="H9" s="188" t="e">
        <f t="shared" si="0"/>
        <v>#REF!</v>
      </c>
    </row>
    <row r="10" spans="1:8" ht="16.5">
      <c r="A10" s="179" t="s">
        <v>182</v>
      </c>
      <c r="B10" s="178" t="s">
        <v>195</v>
      </c>
      <c r="D10" s="185" t="s">
        <v>182</v>
      </c>
      <c r="E10" s="186" t="s">
        <v>195</v>
      </c>
      <c r="F10" s="14"/>
      <c r="G10" s="187" t="e">
        <f>#REF!</f>
        <v>#REF!</v>
      </c>
      <c r="H10" s="188" t="e">
        <f t="shared" si="0"/>
        <v>#REF!</v>
      </c>
    </row>
    <row r="11" spans="1:8" ht="16.5">
      <c r="A11" s="179" t="s">
        <v>183</v>
      </c>
      <c r="B11" s="178" t="s">
        <v>196</v>
      </c>
      <c r="D11" s="185" t="s">
        <v>183</v>
      </c>
      <c r="E11" s="186" t="s">
        <v>196</v>
      </c>
      <c r="F11" s="14"/>
      <c r="G11" s="187" t="e">
        <f>#REF!</f>
        <v>#REF!</v>
      </c>
      <c r="H11" s="188" t="e">
        <f t="shared" si="0"/>
        <v>#REF!</v>
      </c>
    </row>
    <row r="12" spans="1:8" ht="16.5">
      <c r="A12" s="179" t="s">
        <v>184</v>
      </c>
      <c r="B12" s="178" t="s">
        <v>197</v>
      </c>
      <c r="D12" s="180" t="s">
        <v>210</v>
      </c>
      <c r="E12" s="181" t="s">
        <v>209</v>
      </c>
      <c r="F12" s="14"/>
      <c r="G12" s="187" t="e">
        <f>#REF!+#REF!+#REF!+#REF!-1650</f>
        <v>#REF!</v>
      </c>
      <c r="H12" s="188" t="e">
        <f t="shared" si="0"/>
        <v>#REF!</v>
      </c>
    </row>
    <row r="13" spans="1:8" ht="16.5">
      <c r="A13" s="179" t="s">
        <v>185</v>
      </c>
      <c r="B13" s="178" t="s">
        <v>198</v>
      </c>
      <c r="D13" s="182" t="s">
        <v>213</v>
      </c>
      <c r="E13" s="183" t="s">
        <v>211</v>
      </c>
      <c r="F13" s="14"/>
      <c r="G13" s="187" t="e">
        <f>#REF!+#REF!</f>
        <v>#REF!</v>
      </c>
      <c r="H13" s="188" t="e">
        <f t="shared" si="0"/>
        <v>#REF!</v>
      </c>
    </row>
    <row r="14" spans="1:8" ht="16.5">
      <c r="A14" s="179" t="s">
        <v>186</v>
      </c>
      <c r="B14" s="178" t="s">
        <v>199</v>
      </c>
      <c r="D14" s="182" t="s">
        <v>214</v>
      </c>
      <c r="E14" s="184" t="s">
        <v>212</v>
      </c>
      <c r="F14" s="14"/>
      <c r="G14" s="187" t="e">
        <f>#REF!+#REF!+#REF!</f>
        <v>#REF!</v>
      </c>
      <c r="H14" s="188" t="e">
        <f t="shared" si="0"/>
        <v>#REF!</v>
      </c>
    </row>
    <row r="15" spans="1:8" ht="16.5">
      <c r="A15" s="179" t="s">
        <v>187</v>
      </c>
      <c r="B15" s="178" t="s">
        <v>200</v>
      </c>
      <c r="D15" s="185"/>
      <c r="E15" s="186"/>
      <c r="F15" s="14"/>
      <c r="G15" s="187"/>
      <c r="H15" s="189"/>
    </row>
    <row r="16" spans="1:8" ht="16.5">
      <c r="A16" s="179" t="s">
        <v>188</v>
      </c>
      <c r="B16" s="178" t="s">
        <v>205</v>
      </c>
      <c r="D16" s="185"/>
      <c r="E16" s="186"/>
      <c r="F16" s="14"/>
      <c r="G16" s="187"/>
      <c r="H16" s="189"/>
    </row>
    <row r="17" spans="1:8" ht="16.5">
      <c r="A17" s="179" t="s">
        <v>189</v>
      </c>
      <c r="B17" s="178" t="s">
        <v>206</v>
      </c>
      <c r="D17" s="185"/>
      <c r="E17" s="186"/>
      <c r="F17" s="14"/>
      <c r="G17" s="187" t="e">
        <f>SUM(G5:G16)</f>
        <v>#REF!</v>
      </c>
      <c r="H17" s="189" t="e">
        <f>SUM(H5:H16)</f>
        <v>#REF!</v>
      </c>
    </row>
    <row r="18" spans="1:8" ht="16.5">
      <c r="A18" s="179" t="s">
        <v>201</v>
      </c>
      <c r="B18" s="178" t="s">
        <v>204</v>
      </c>
      <c r="D18" s="185"/>
      <c r="E18" s="186"/>
      <c r="F18" s="14"/>
      <c r="G18" s="14"/>
      <c r="H18" s="14"/>
    </row>
    <row r="19" spans="1:8" ht="16.5">
      <c r="A19" s="179" t="s">
        <v>202</v>
      </c>
      <c r="B19" s="178" t="s">
        <v>207</v>
      </c>
      <c r="D19" s="185"/>
      <c r="E19" s="186"/>
      <c r="F19" s="14"/>
      <c r="G19" s="14"/>
      <c r="H19" s="14"/>
    </row>
    <row r="20" spans="1:8" ht="16.5">
      <c r="A20" s="179" t="s">
        <v>203</v>
      </c>
      <c r="B20" s="178" t="s">
        <v>208</v>
      </c>
      <c r="D20" s="185"/>
      <c r="E20" s="186"/>
      <c r="F20" s="14"/>
      <c r="G20" s="14"/>
      <c r="H20" s="14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3</vt:i4>
      </vt:variant>
    </vt:vector>
  </HeadingPairs>
  <TitlesOfParts>
    <vt:vector size="9" baseType="lpstr">
      <vt:lpstr>日曆天 (2)</vt:lpstr>
      <vt:lpstr>經費概估(下期)</vt:lpstr>
      <vt:lpstr>服務成本</vt:lpstr>
      <vt:lpstr>經費概估</vt:lpstr>
      <vt:lpstr>服務成本 (2)</vt:lpstr>
      <vt:lpstr>工作表1</vt:lpstr>
      <vt:lpstr>經費概估!Print_Area</vt:lpstr>
      <vt:lpstr>'經費概估(下期)'!Print_Area</vt:lpstr>
      <vt:lpstr>'經費概估(下期)'!Print_Titles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沙鹿鎮10-49-1號道路工程</dc:title>
  <dc:creator>仲埜工程顧問</dc:creator>
  <cp:lastModifiedBy>tim</cp:lastModifiedBy>
  <cp:lastPrinted>2019-08-26T03:12:38Z</cp:lastPrinted>
  <dcterms:created xsi:type="dcterms:W3CDTF">1998-07-06T13:46:05Z</dcterms:created>
  <dcterms:modified xsi:type="dcterms:W3CDTF">2026-05-15T05:22:17Z</dcterms:modified>
</cp:coreProperties>
</file>